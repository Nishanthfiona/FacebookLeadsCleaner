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WG1\Downloads\"/>
    </mc:Choice>
  </mc:AlternateContent>
  <xr:revisionPtr revIDLastSave="0" documentId="13_ncr:1_{C82CC7B8-D1B0-43A7-893D-9EB27BB76E18}" xr6:coauthVersionLast="47" xr6:coauthVersionMax="47" xr10:uidLastSave="{00000000-0000-0000-0000-000000000000}"/>
  <bookViews>
    <workbookView xWindow="-108" yWindow="-108" windowWidth="23256" windowHeight="12456" firstSheet="1" activeTab="1" xr2:uid="{024BC94E-4701-4FD3-8CBA-1063103FE9D0}"/>
  </bookViews>
  <sheets>
    <sheet name="List" sheetId="2" state="hidden" r:id="rId1"/>
    <sheet name="Main Sheet" sheetId="4" r:id="rId2"/>
    <sheet name="Mainsheet 3" sheetId="8" state="hidden" r:id="rId3"/>
  </sheets>
  <functionGroups builtInGroupCount="19"/>
  <externalReferences>
    <externalReference r:id="rId4"/>
  </externalReferences>
  <definedNames>
    <definedName name="_xlnm._FilterDatabase" localSheetId="1" hidden="1">'Main Sheet'!$A$1:$O$2</definedName>
    <definedName name="age">List!$M$8:$M$11</definedName>
    <definedName name="counselors">[1]Sheet2!$A$1:$A$22</definedName>
    <definedName name="courses">List!$J$8:$J$47</definedName>
    <definedName name="gl">List!$E$1:$E$36</definedName>
    <definedName name="regions">List!$O$8:$O$237</definedName>
    <definedName name="salesemail">List!$B$1:$B$22</definedName>
    <definedName name="salesteam">List!$A$1:$A$22</definedName>
    <definedName name="sources">List!$H$8:$H$27</definedName>
    <definedName name="status">List!$R$8:$R$17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4" l="1" a="1"/>
  <c r="H2" i="4" s="1"/>
  <c r="H1000" i="8" l="1"/>
  <c r="M999" i="8"/>
  <c r="L999" i="8"/>
  <c r="K999" i="8"/>
  <c r="I999" i="8"/>
  <c r="H999" i="8"/>
  <c r="M998" i="8"/>
  <c r="L998" i="8"/>
  <c r="K998" i="8"/>
  <c r="I998" i="8"/>
  <c r="H998" i="8"/>
  <c r="M997" i="8"/>
  <c r="L997" i="8"/>
  <c r="K997" i="8"/>
  <c r="I997" i="8"/>
  <c r="H997" i="8"/>
  <c r="M996" i="8"/>
  <c r="L996" i="8"/>
  <c r="K996" i="8"/>
  <c r="I996" i="8"/>
  <c r="H996" i="8"/>
  <c r="M995" i="8"/>
  <c r="L995" i="8"/>
  <c r="K995" i="8"/>
  <c r="I995" i="8"/>
  <c r="H995" i="8"/>
  <c r="M994" i="8"/>
  <c r="L994" i="8"/>
  <c r="K994" i="8"/>
  <c r="I994" i="8"/>
  <c r="H994" i="8"/>
  <c r="M993" i="8"/>
  <c r="L993" i="8"/>
  <c r="K993" i="8"/>
  <c r="I993" i="8"/>
  <c r="H993" i="8"/>
  <c r="M992" i="8"/>
  <c r="L992" i="8"/>
  <c r="K992" i="8"/>
  <c r="I992" i="8"/>
  <c r="H992" i="8"/>
  <c r="M991" i="8"/>
  <c r="L991" i="8"/>
  <c r="K991" i="8"/>
  <c r="I991" i="8"/>
  <c r="H991" i="8"/>
  <c r="M990" i="8"/>
  <c r="L990" i="8"/>
  <c r="K990" i="8"/>
  <c r="I990" i="8"/>
  <c r="H990" i="8"/>
  <c r="M989" i="8"/>
  <c r="L989" i="8"/>
  <c r="K989" i="8"/>
  <c r="I989" i="8"/>
  <c r="H989" i="8"/>
  <c r="M988" i="8"/>
  <c r="L988" i="8"/>
  <c r="K988" i="8"/>
  <c r="I988" i="8"/>
  <c r="H988" i="8"/>
  <c r="M987" i="8"/>
  <c r="L987" i="8"/>
  <c r="K987" i="8"/>
  <c r="I987" i="8"/>
  <c r="H987" i="8"/>
  <c r="M986" i="8"/>
  <c r="L986" i="8"/>
  <c r="K986" i="8"/>
  <c r="I986" i="8"/>
  <c r="H986" i="8"/>
  <c r="M985" i="8"/>
  <c r="L985" i="8"/>
  <c r="K985" i="8"/>
  <c r="I985" i="8"/>
  <c r="H985" i="8"/>
  <c r="M984" i="8"/>
  <c r="L984" i="8"/>
  <c r="K984" i="8"/>
  <c r="I984" i="8"/>
  <c r="H984" i="8"/>
  <c r="M983" i="8"/>
  <c r="L983" i="8"/>
  <c r="K983" i="8"/>
  <c r="I983" i="8"/>
  <c r="H983" i="8"/>
  <c r="M982" i="8"/>
  <c r="L982" i="8"/>
  <c r="K982" i="8"/>
  <c r="I982" i="8"/>
  <c r="H982" i="8"/>
  <c r="M981" i="8"/>
  <c r="L981" i="8"/>
  <c r="K981" i="8"/>
  <c r="I981" i="8"/>
  <c r="H981" i="8"/>
  <c r="M980" i="8"/>
  <c r="L980" i="8"/>
  <c r="K980" i="8"/>
  <c r="I980" i="8"/>
  <c r="H980" i="8"/>
  <c r="M979" i="8"/>
  <c r="L979" i="8"/>
  <c r="K979" i="8"/>
  <c r="I979" i="8"/>
  <c r="H979" i="8"/>
  <c r="M978" i="8"/>
  <c r="L978" i="8"/>
  <c r="K978" i="8"/>
  <c r="I978" i="8"/>
  <c r="H978" i="8"/>
  <c r="M977" i="8"/>
  <c r="L977" i="8"/>
  <c r="K977" i="8"/>
  <c r="I977" i="8"/>
  <c r="H977" i="8"/>
  <c r="M976" i="8"/>
  <c r="L976" i="8"/>
  <c r="K976" i="8"/>
  <c r="I976" i="8"/>
  <c r="H976" i="8"/>
  <c r="M975" i="8"/>
  <c r="L975" i="8"/>
  <c r="K975" i="8"/>
  <c r="I975" i="8"/>
  <c r="H975" i="8"/>
  <c r="M974" i="8"/>
  <c r="L974" i="8"/>
  <c r="K974" i="8"/>
  <c r="I974" i="8"/>
  <c r="H974" i="8"/>
  <c r="M973" i="8"/>
  <c r="L973" i="8"/>
  <c r="K973" i="8"/>
  <c r="I973" i="8"/>
  <c r="H973" i="8"/>
  <c r="M972" i="8"/>
  <c r="L972" i="8"/>
  <c r="K972" i="8"/>
  <c r="I972" i="8"/>
  <c r="H972" i="8"/>
  <c r="M971" i="8"/>
  <c r="L971" i="8"/>
  <c r="K971" i="8"/>
  <c r="I971" i="8"/>
  <c r="H971" i="8"/>
  <c r="M970" i="8"/>
  <c r="L970" i="8"/>
  <c r="K970" i="8"/>
  <c r="I970" i="8"/>
  <c r="H970" i="8"/>
  <c r="M969" i="8"/>
  <c r="L969" i="8"/>
  <c r="K969" i="8"/>
  <c r="I969" i="8"/>
  <c r="H969" i="8"/>
  <c r="M968" i="8"/>
  <c r="L968" i="8"/>
  <c r="K968" i="8"/>
  <c r="I968" i="8"/>
  <c r="H968" i="8"/>
  <c r="M967" i="8"/>
  <c r="L967" i="8"/>
  <c r="K967" i="8"/>
  <c r="I967" i="8"/>
  <c r="H967" i="8"/>
  <c r="M966" i="8"/>
  <c r="L966" i="8"/>
  <c r="K966" i="8"/>
  <c r="I966" i="8"/>
  <c r="H966" i="8"/>
  <c r="M965" i="8"/>
  <c r="L965" i="8"/>
  <c r="K965" i="8"/>
  <c r="I965" i="8"/>
  <c r="H965" i="8"/>
  <c r="M964" i="8"/>
  <c r="L964" i="8"/>
  <c r="K964" i="8"/>
  <c r="I964" i="8"/>
  <c r="H964" i="8"/>
  <c r="M963" i="8"/>
  <c r="L963" i="8"/>
  <c r="K963" i="8"/>
  <c r="I963" i="8"/>
  <c r="H963" i="8"/>
  <c r="M962" i="8"/>
  <c r="L962" i="8"/>
  <c r="K962" i="8"/>
  <c r="I962" i="8"/>
  <c r="H962" i="8"/>
  <c r="M961" i="8"/>
  <c r="L961" i="8"/>
  <c r="K961" i="8"/>
  <c r="I961" i="8"/>
  <c r="H961" i="8"/>
  <c r="M960" i="8"/>
  <c r="L960" i="8"/>
  <c r="K960" i="8"/>
  <c r="I960" i="8"/>
  <c r="H960" i="8"/>
  <c r="M959" i="8"/>
  <c r="L959" i="8"/>
  <c r="K959" i="8"/>
  <c r="I959" i="8"/>
  <c r="H959" i="8"/>
  <c r="M958" i="8"/>
  <c r="L958" i="8"/>
  <c r="K958" i="8"/>
  <c r="I958" i="8"/>
  <c r="H958" i="8"/>
  <c r="M957" i="8"/>
  <c r="L957" i="8"/>
  <c r="K957" i="8"/>
  <c r="I957" i="8"/>
  <c r="H957" i="8"/>
  <c r="M956" i="8"/>
  <c r="L956" i="8"/>
  <c r="K956" i="8"/>
  <c r="I956" i="8"/>
  <c r="H956" i="8"/>
  <c r="M955" i="8"/>
  <c r="L955" i="8"/>
  <c r="K955" i="8"/>
  <c r="I955" i="8"/>
  <c r="H955" i="8"/>
  <c r="M954" i="8"/>
  <c r="L954" i="8"/>
  <c r="K954" i="8"/>
  <c r="I954" i="8"/>
  <c r="H954" i="8"/>
  <c r="M953" i="8"/>
  <c r="L953" i="8"/>
  <c r="K953" i="8"/>
  <c r="I953" i="8"/>
  <c r="H953" i="8"/>
  <c r="M952" i="8"/>
  <c r="L952" i="8"/>
  <c r="K952" i="8"/>
  <c r="I952" i="8"/>
  <c r="H952" i="8"/>
  <c r="M951" i="8"/>
  <c r="L951" i="8"/>
  <c r="K951" i="8"/>
  <c r="I951" i="8"/>
  <c r="H951" i="8"/>
  <c r="M950" i="8"/>
  <c r="L950" i="8"/>
  <c r="K950" i="8"/>
  <c r="I950" i="8"/>
  <c r="H950" i="8"/>
  <c r="M949" i="8"/>
  <c r="L949" i="8"/>
  <c r="K949" i="8"/>
  <c r="I949" i="8"/>
  <c r="H949" i="8"/>
  <c r="M948" i="8"/>
  <c r="L948" i="8"/>
  <c r="K948" i="8"/>
  <c r="I948" i="8"/>
  <c r="H948" i="8"/>
  <c r="M947" i="8"/>
  <c r="L947" i="8"/>
  <c r="K947" i="8"/>
  <c r="I947" i="8"/>
  <c r="H947" i="8"/>
  <c r="M946" i="8"/>
  <c r="L946" i="8"/>
  <c r="K946" i="8"/>
  <c r="I946" i="8"/>
  <c r="H946" i="8"/>
  <c r="M945" i="8"/>
  <c r="L945" i="8"/>
  <c r="K945" i="8"/>
  <c r="I945" i="8"/>
  <c r="H945" i="8"/>
  <c r="M944" i="8"/>
  <c r="L944" i="8"/>
  <c r="K944" i="8"/>
  <c r="I944" i="8"/>
  <c r="H944" i="8"/>
  <c r="M943" i="8"/>
  <c r="L943" i="8"/>
  <c r="K943" i="8"/>
  <c r="I943" i="8"/>
  <c r="H943" i="8"/>
  <c r="M942" i="8"/>
  <c r="L942" i="8"/>
  <c r="K942" i="8"/>
  <c r="I942" i="8"/>
  <c r="H942" i="8"/>
  <c r="M941" i="8"/>
  <c r="L941" i="8"/>
  <c r="K941" i="8"/>
  <c r="I941" i="8"/>
  <c r="H941" i="8"/>
  <c r="M940" i="8"/>
  <c r="L940" i="8"/>
  <c r="K940" i="8"/>
  <c r="I940" i="8"/>
  <c r="H940" i="8"/>
  <c r="M939" i="8"/>
  <c r="L939" i="8"/>
  <c r="K939" i="8"/>
  <c r="I939" i="8"/>
  <c r="H939" i="8"/>
  <c r="M938" i="8"/>
  <c r="L938" i="8"/>
  <c r="K938" i="8"/>
  <c r="I938" i="8"/>
  <c r="H938" i="8"/>
  <c r="M937" i="8"/>
  <c r="L937" i="8"/>
  <c r="K937" i="8"/>
  <c r="I937" i="8"/>
  <c r="H937" i="8"/>
  <c r="M936" i="8"/>
  <c r="L936" i="8"/>
  <c r="K936" i="8"/>
  <c r="I936" i="8"/>
  <c r="H936" i="8"/>
  <c r="M935" i="8"/>
  <c r="L935" i="8"/>
  <c r="K935" i="8"/>
  <c r="I935" i="8"/>
  <c r="H935" i="8"/>
  <c r="M934" i="8"/>
  <c r="L934" i="8"/>
  <c r="K934" i="8"/>
  <c r="I934" i="8"/>
  <c r="H934" i="8"/>
  <c r="M933" i="8"/>
  <c r="L933" i="8"/>
  <c r="K933" i="8"/>
  <c r="I933" i="8"/>
  <c r="H933" i="8"/>
  <c r="M932" i="8"/>
  <c r="L932" i="8"/>
  <c r="K932" i="8"/>
  <c r="I932" i="8"/>
  <c r="H932" i="8"/>
  <c r="M931" i="8"/>
  <c r="L931" i="8"/>
  <c r="K931" i="8"/>
  <c r="I931" i="8"/>
  <c r="H931" i="8"/>
  <c r="M930" i="8"/>
  <c r="L930" i="8"/>
  <c r="K930" i="8"/>
  <c r="I930" i="8"/>
  <c r="H930" i="8"/>
  <c r="M929" i="8"/>
  <c r="L929" i="8"/>
  <c r="K929" i="8"/>
  <c r="I929" i="8"/>
  <c r="H929" i="8"/>
  <c r="M928" i="8"/>
  <c r="L928" i="8"/>
  <c r="K928" i="8"/>
  <c r="I928" i="8"/>
  <c r="H928" i="8"/>
  <c r="M927" i="8"/>
  <c r="L927" i="8"/>
  <c r="K927" i="8"/>
  <c r="I927" i="8"/>
  <c r="H927" i="8"/>
  <c r="M926" i="8"/>
  <c r="L926" i="8"/>
  <c r="K926" i="8"/>
  <c r="I926" i="8"/>
  <c r="H926" i="8"/>
  <c r="M925" i="8"/>
  <c r="L925" i="8"/>
  <c r="K925" i="8"/>
  <c r="I925" i="8"/>
  <c r="H925" i="8"/>
  <c r="M924" i="8"/>
  <c r="L924" i="8"/>
  <c r="K924" i="8"/>
  <c r="I924" i="8"/>
  <c r="H924" i="8"/>
  <c r="M923" i="8"/>
  <c r="L923" i="8"/>
  <c r="K923" i="8"/>
  <c r="I923" i="8"/>
  <c r="H923" i="8"/>
  <c r="M922" i="8"/>
  <c r="L922" i="8"/>
  <c r="K922" i="8"/>
  <c r="I922" i="8"/>
  <c r="H922" i="8"/>
  <c r="M921" i="8"/>
  <c r="L921" i="8"/>
  <c r="K921" i="8"/>
  <c r="I921" i="8"/>
  <c r="H921" i="8"/>
  <c r="M920" i="8"/>
  <c r="L920" i="8"/>
  <c r="K920" i="8"/>
  <c r="I920" i="8"/>
  <c r="H920" i="8"/>
  <c r="M919" i="8"/>
  <c r="L919" i="8"/>
  <c r="K919" i="8"/>
  <c r="I919" i="8"/>
  <c r="H919" i="8"/>
  <c r="M918" i="8"/>
  <c r="L918" i="8"/>
  <c r="K918" i="8"/>
  <c r="I918" i="8"/>
  <c r="H918" i="8"/>
  <c r="M917" i="8"/>
  <c r="L917" i="8"/>
  <c r="K917" i="8"/>
  <c r="I917" i="8"/>
  <c r="H917" i="8"/>
  <c r="M916" i="8"/>
  <c r="L916" i="8"/>
  <c r="K916" i="8"/>
  <c r="I916" i="8"/>
  <c r="H916" i="8"/>
  <c r="M915" i="8"/>
  <c r="L915" i="8"/>
  <c r="K915" i="8"/>
  <c r="I915" i="8"/>
  <c r="H915" i="8"/>
  <c r="M914" i="8"/>
  <c r="L914" i="8"/>
  <c r="K914" i="8"/>
  <c r="I914" i="8"/>
  <c r="H914" i="8"/>
  <c r="M913" i="8"/>
  <c r="L913" i="8"/>
  <c r="K913" i="8"/>
  <c r="I913" i="8"/>
  <c r="H913" i="8"/>
  <c r="M912" i="8"/>
  <c r="L912" i="8"/>
  <c r="K912" i="8"/>
  <c r="I912" i="8"/>
  <c r="H912" i="8"/>
  <c r="M911" i="8"/>
  <c r="L911" i="8"/>
  <c r="K911" i="8"/>
  <c r="I911" i="8"/>
  <c r="H911" i="8"/>
  <c r="M910" i="8"/>
  <c r="L910" i="8"/>
  <c r="K910" i="8"/>
  <c r="I910" i="8"/>
  <c r="H910" i="8"/>
  <c r="M909" i="8"/>
  <c r="L909" i="8"/>
  <c r="K909" i="8"/>
  <c r="I909" i="8"/>
  <c r="H909" i="8"/>
  <c r="M908" i="8"/>
  <c r="L908" i="8"/>
  <c r="K908" i="8"/>
  <c r="I908" i="8"/>
  <c r="H908" i="8"/>
  <c r="M907" i="8"/>
  <c r="L907" i="8"/>
  <c r="K907" i="8"/>
  <c r="I907" i="8"/>
  <c r="H907" i="8"/>
  <c r="M906" i="8"/>
  <c r="L906" i="8"/>
  <c r="K906" i="8"/>
  <c r="I906" i="8"/>
  <c r="H906" i="8"/>
  <c r="M905" i="8"/>
  <c r="L905" i="8"/>
  <c r="K905" i="8"/>
  <c r="I905" i="8"/>
  <c r="H905" i="8"/>
  <c r="M904" i="8"/>
  <c r="L904" i="8"/>
  <c r="K904" i="8"/>
  <c r="I904" i="8"/>
  <c r="H904" i="8"/>
  <c r="M903" i="8"/>
  <c r="L903" i="8"/>
  <c r="K903" i="8"/>
  <c r="I903" i="8"/>
  <c r="H903" i="8"/>
  <c r="M902" i="8"/>
  <c r="L902" i="8"/>
  <c r="K902" i="8"/>
  <c r="I902" i="8"/>
  <c r="H902" i="8"/>
  <c r="M901" i="8"/>
  <c r="L901" i="8"/>
  <c r="K901" i="8"/>
  <c r="I901" i="8"/>
  <c r="H901" i="8"/>
  <c r="M900" i="8"/>
  <c r="L900" i="8"/>
  <c r="K900" i="8"/>
  <c r="I900" i="8"/>
  <c r="H900" i="8"/>
  <c r="M899" i="8"/>
  <c r="L899" i="8"/>
  <c r="K899" i="8"/>
  <c r="I899" i="8"/>
  <c r="H899" i="8"/>
  <c r="M898" i="8"/>
  <c r="L898" i="8"/>
  <c r="K898" i="8"/>
  <c r="I898" i="8"/>
  <c r="H898" i="8"/>
  <c r="M897" i="8"/>
  <c r="L897" i="8"/>
  <c r="K897" i="8"/>
  <c r="I897" i="8"/>
  <c r="H897" i="8"/>
  <c r="M896" i="8"/>
  <c r="L896" i="8"/>
  <c r="K896" i="8"/>
  <c r="I896" i="8"/>
  <c r="H896" i="8"/>
  <c r="M895" i="8"/>
  <c r="L895" i="8"/>
  <c r="K895" i="8"/>
  <c r="I895" i="8"/>
  <c r="H895" i="8"/>
  <c r="M894" i="8"/>
  <c r="L894" i="8"/>
  <c r="K894" i="8"/>
  <c r="I894" i="8"/>
  <c r="H894" i="8"/>
  <c r="M893" i="8"/>
  <c r="L893" i="8"/>
  <c r="K893" i="8"/>
  <c r="I893" i="8"/>
  <c r="H893" i="8"/>
  <c r="M892" i="8"/>
  <c r="L892" i="8"/>
  <c r="K892" i="8"/>
  <c r="I892" i="8"/>
  <c r="H892" i="8"/>
  <c r="M891" i="8"/>
  <c r="L891" i="8"/>
  <c r="K891" i="8"/>
  <c r="I891" i="8"/>
  <c r="H891" i="8"/>
  <c r="M890" i="8"/>
  <c r="L890" i="8"/>
  <c r="K890" i="8"/>
  <c r="I890" i="8"/>
  <c r="H890" i="8"/>
  <c r="M889" i="8"/>
  <c r="L889" i="8"/>
  <c r="K889" i="8"/>
  <c r="I889" i="8"/>
  <c r="H889" i="8"/>
  <c r="M888" i="8"/>
  <c r="L888" i="8"/>
  <c r="K888" i="8"/>
  <c r="I888" i="8"/>
  <c r="H888" i="8"/>
  <c r="M887" i="8"/>
  <c r="L887" i="8"/>
  <c r="K887" i="8"/>
  <c r="I887" i="8"/>
  <c r="H887" i="8"/>
  <c r="M886" i="8"/>
  <c r="L886" i="8"/>
  <c r="K886" i="8"/>
  <c r="I886" i="8"/>
  <c r="H886" i="8"/>
  <c r="M885" i="8"/>
  <c r="L885" i="8"/>
  <c r="K885" i="8"/>
  <c r="I885" i="8"/>
  <c r="H885" i="8"/>
  <c r="M884" i="8"/>
  <c r="L884" i="8"/>
  <c r="K884" i="8"/>
  <c r="I884" i="8"/>
  <c r="H884" i="8"/>
  <c r="M883" i="8"/>
  <c r="L883" i="8"/>
  <c r="K883" i="8"/>
  <c r="I883" i="8"/>
  <c r="H883" i="8"/>
  <c r="M882" i="8"/>
  <c r="L882" i="8"/>
  <c r="K882" i="8"/>
  <c r="I882" i="8"/>
  <c r="H882" i="8"/>
  <c r="M881" i="8"/>
  <c r="L881" i="8"/>
  <c r="K881" i="8"/>
  <c r="I881" i="8"/>
  <c r="H881" i="8"/>
  <c r="M880" i="8"/>
  <c r="L880" i="8"/>
  <c r="K880" i="8"/>
  <c r="I880" i="8"/>
  <c r="H880" i="8"/>
  <c r="M879" i="8"/>
  <c r="L879" i="8"/>
  <c r="K879" i="8"/>
  <c r="I879" i="8"/>
  <c r="H879" i="8"/>
  <c r="M878" i="8"/>
  <c r="L878" i="8"/>
  <c r="K878" i="8"/>
  <c r="I878" i="8"/>
  <c r="H878" i="8"/>
  <c r="M877" i="8"/>
  <c r="L877" i="8"/>
  <c r="K877" i="8"/>
  <c r="I877" i="8"/>
  <c r="H877" i="8"/>
  <c r="M876" i="8"/>
  <c r="L876" i="8"/>
  <c r="K876" i="8"/>
  <c r="I876" i="8"/>
  <c r="H876" i="8"/>
  <c r="M875" i="8"/>
  <c r="L875" i="8"/>
  <c r="K875" i="8"/>
  <c r="I875" i="8"/>
  <c r="H875" i="8"/>
  <c r="M874" i="8"/>
  <c r="L874" i="8"/>
  <c r="K874" i="8"/>
  <c r="I874" i="8"/>
  <c r="H874" i="8"/>
  <c r="M873" i="8"/>
  <c r="L873" i="8"/>
  <c r="K873" i="8"/>
  <c r="I873" i="8"/>
  <c r="H873" i="8"/>
  <c r="M872" i="8"/>
  <c r="L872" i="8"/>
  <c r="K872" i="8"/>
  <c r="I872" i="8"/>
  <c r="H872" i="8"/>
  <c r="M871" i="8"/>
  <c r="L871" i="8"/>
  <c r="K871" i="8"/>
  <c r="I871" i="8"/>
  <c r="H871" i="8"/>
  <c r="M870" i="8"/>
  <c r="L870" i="8"/>
  <c r="K870" i="8"/>
  <c r="I870" i="8"/>
  <c r="H870" i="8"/>
  <c r="M869" i="8"/>
  <c r="L869" i="8"/>
  <c r="K869" i="8"/>
  <c r="I869" i="8"/>
  <c r="H869" i="8"/>
  <c r="M868" i="8"/>
  <c r="L868" i="8"/>
  <c r="K868" i="8"/>
  <c r="I868" i="8"/>
  <c r="H868" i="8"/>
  <c r="M867" i="8"/>
  <c r="L867" i="8"/>
  <c r="K867" i="8"/>
  <c r="I867" i="8"/>
  <c r="H867" i="8"/>
  <c r="M866" i="8"/>
  <c r="L866" i="8"/>
  <c r="K866" i="8"/>
  <c r="I866" i="8"/>
  <c r="H866" i="8"/>
  <c r="M865" i="8"/>
  <c r="L865" i="8"/>
  <c r="K865" i="8"/>
  <c r="I865" i="8"/>
  <c r="H865" i="8"/>
  <c r="M864" i="8"/>
  <c r="L864" i="8"/>
  <c r="K864" i="8"/>
  <c r="I864" i="8"/>
  <c r="H864" i="8"/>
  <c r="M863" i="8"/>
  <c r="L863" i="8"/>
  <c r="K863" i="8"/>
  <c r="I863" i="8"/>
  <c r="H863" i="8"/>
  <c r="M862" i="8"/>
  <c r="L862" i="8"/>
  <c r="K862" i="8"/>
  <c r="I862" i="8"/>
  <c r="H862" i="8"/>
  <c r="M861" i="8"/>
  <c r="L861" i="8"/>
  <c r="K861" i="8"/>
  <c r="I861" i="8"/>
  <c r="H861" i="8"/>
  <c r="M860" i="8"/>
  <c r="L860" i="8"/>
  <c r="K860" i="8"/>
  <c r="I860" i="8"/>
  <c r="H860" i="8"/>
  <c r="M859" i="8"/>
  <c r="L859" i="8"/>
  <c r="K859" i="8"/>
  <c r="I859" i="8"/>
  <c r="H859" i="8"/>
  <c r="M858" i="8"/>
  <c r="L858" i="8"/>
  <c r="K858" i="8"/>
  <c r="I858" i="8"/>
  <c r="H858" i="8"/>
  <c r="M857" i="8"/>
  <c r="L857" i="8"/>
  <c r="K857" i="8"/>
  <c r="I857" i="8"/>
  <c r="H857" i="8"/>
  <c r="M856" i="8"/>
  <c r="L856" i="8"/>
  <c r="K856" i="8"/>
  <c r="I856" i="8"/>
  <c r="H856" i="8"/>
  <c r="M855" i="8"/>
  <c r="L855" i="8"/>
  <c r="K855" i="8"/>
  <c r="I855" i="8"/>
  <c r="H855" i="8"/>
  <c r="M854" i="8"/>
  <c r="L854" i="8"/>
  <c r="K854" i="8"/>
  <c r="I854" i="8"/>
  <c r="H854" i="8"/>
  <c r="M853" i="8"/>
  <c r="L853" i="8"/>
  <c r="K853" i="8"/>
  <c r="I853" i="8"/>
  <c r="H853" i="8"/>
  <c r="M852" i="8"/>
  <c r="L852" i="8"/>
  <c r="K852" i="8"/>
  <c r="I852" i="8"/>
  <c r="H852" i="8"/>
  <c r="M851" i="8"/>
  <c r="L851" i="8"/>
  <c r="K851" i="8"/>
  <c r="I851" i="8"/>
  <c r="H851" i="8"/>
  <c r="M850" i="8"/>
  <c r="L850" i="8"/>
  <c r="K850" i="8"/>
  <c r="I850" i="8"/>
  <c r="H850" i="8"/>
  <c r="M849" i="8"/>
  <c r="L849" i="8"/>
  <c r="K849" i="8"/>
  <c r="I849" i="8"/>
  <c r="H849" i="8"/>
  <c r="M848" i="8"/>
  <c r="L848" i="8"/>
  <c r="K848" i="8"/>
  <c r="I848" i="8"/>
  <c r="H848" i="8"/>
  <c r="M847" i="8"/>
  <c r="L847" i="8"/>
  <c r="K847" i="8"/>
  <c r="I847" i="8"/>
  <c r="H847" i="8"/>
  <c r="M846" i="8"/>
  <c r="L846" i="8"/>
  <c r="K846" i="8"/>
  <c r="I846" i="8"/>
  <c r="H846" i="8"/>
  <c r="M845" i="8"/>
  <c r="L845" i="8"/>
  <c r="K845" i="8"/>
  <c r="I845" i="8"/>
  <c r="H845" i="8"/>
  <c r="M844" i="8"/>
  <c r="L844" i="8"/>
  <c r="K844" i="8"/>
  <c r="I844" i="8"/>
  <c r="H844" i="8"/>
  <c r="M843" i="8"/>
  <c r="L843" i="8"/>
  <c r="K843" i="8"/>
  <c r="I843" i="8"/>
  <c r="H843" i="8"/>
  <c r="M842" i="8"/>
  <c r="L842" i="8"/>
  <c r="K842" i="8"/>
  <c r="I842" i="8"/>
  <c r="H842" i="8"/>
  <c r="M841" i="8"/>
  <c r="L841" i="8"/>
  <c r="K841" i="8"/>
  <c r="I841" i="8"/>
  <c r="H841" i="8"/>
  <c r="M840" i="8"/>
  <c r="L840" i="8"/>
  <c r="K840" i="8"/>
  <c r="I840" i="8"/>
  <c r="H840" i="8"/>
  <c r="M839" i="8"/>
  <c r="L839" i="8"/>
  <c r="K839" i="8"/>
  <c r="I839" i="8"/>
  <c r="H839" i="8"/>
  <c r="M838" i="8"/>
  <c r="L838" i="8"/>
  <c r="K838" i="8"/>
  <c r="I838" i="8"/>
  <c r="H838" i="8"/>
  <c r="M837" i="8"/>
  <c r="L837" i="8"/>
  <c r="K837" i="8"/>
  <c r="I837" i="8"/>
  <c r="H837" i="8"/>
  <c r="M836" i="8"/>
  <c r="L836" i="8"/>
  <c r="K836" i="8"/>
  <c r="I836" i="8"/>
  <c r="H836" i="8"/>
  <c r="M835" i="8"/>
  <c r="L835" i="8"/>
  <c r="K835" i="8"/>
  <c r="I835" i="8"/>
  <c r="H835" i="8"/>
  <c r="M834" i="8"/>
  <c r="L834" i="8"/>
  <c r="K834" i="8"/>
  <c r="I834" i="8"/>
  <c r="H834" i="8"/>
  <c r="M833" i="8"/>
  <c r="L833" i="8"/>
  <c r="K833" i="8"/>
  <c r="I833" i="8"/>
  <c r="H833" i="8"/>
  <c r="M832" i="8"/>
  <c r="L832" i="8"/>
  <c r="K832" i="8"/>
  <c r="I832" i="8"/>
  <c r="H832" i="8"/>
  <c r="M831" i="8"/>
  <c r="L831" i="8"/>
  <c r="K831" i="8"/>
  <c r="I831" i="8"/>
  <c r="H831" i="8"/>
  <c r="M830" i="8"/>
  <c r="L830" i="8"/>
  <c r="K830" i="8"/>
  <c r="I830" i="8"/>
  <c r="H830" i="8"/>
  <c r="M829" i="8"/>
  <c r="L829" i="8"/>
  <c r="K829" i="8"/>
  <c r="I829" i="8"/>
  <c r="H829" i="8"/>
  <c r="M828" i="8"/>
  <c r="L828" i="8"/>
  <c r="K828" i="8"/>
  <c r="I828" i="8"/>
  <c r="H828" i="8"/>
  <c r="M827" i="8"/>
  <c r="L827" i="8"/>
  <c r="K827" i="8"/>
  <c r="I827" i="8"/>
  <c r="H827" i="8"/>
  <c r="M826" i="8"/>
  <c r="L826" i="8"/>
  <c r="K826" i="8"/>
  <c r="I826" i="8"/>
  <c r="H826" i="8"/>
  <c r="M825" i="8"/>
  <c r="L825" i="8"/>
  <c r="K825" i="8"/>
  <c r="I825" i="8"/>
  <c r="H825" i="8"/>
  <c r="M824" i="8"/>
  <c r="L824" i="8"/>
  <c r="K824" i="8"/>
  <c r="I824" i="8"/>
  <c r="H824" i="8"/>
  <c r="M823" i="8"/>
  <c r="L823" i="8"/>
  <c r="K823" i="8"/>
  <c r="I823" i="8"/>
  <c r="H823" i="8"/>
  <c r="M822" i="8"/>
  <c r="L822" i="8"/>
  <c r="K822" i="8"/>
  <c r="I822" i="8"/>
  <c r="H822" i="8"/>
  <c r="M821" i="8"/>
  <c r="L821" i="8"/>
  <c r="K821" i="8"/>
  <c r="I821" i="8"/>
  <c r="H821" i="8"/>
  <c r="M820" i="8"/>
  <c r="L820" i="8"/>
  <c r="K820" i="8"/>
  <c r="I820" i="8"/>
  <c r="H820" i="8"/>
  <c r="M819" i="8"/>
  <c r="L819" i="8"/>
  <c r="K819" i="8"/>
  <c r="I819" i="8"/>
  <c r="H819" i="8"/>
  <c r="M818" i="8"/>
  <c r="L818" i="8"/>
  <c r="K818" i="8"/>
  <c r="I818" i="8"/>
  <c r="H818" i="8"/>
  <c r="M817" i="8"/>
  <c r="L817" i="8"/>
  <c r="K817" i="8"/>
  <c r="I817" i="8"/>
  <c r="H817" i="8"/>
  <c r="M816" i="8"/>
  <c r="L816" i="8"/>
  <c r="K816" i="8"/>
  <c r="I816" i="8"/>
  <c r="H816" i="8"/>
  <c r="M815" i="8"/>
  <c r="L815" i="8"/>
  <c r="K815" i="8"/>
  <c r="I815" i="8"/>
  <c r="H815" i="8"/>
  <c r="M814" i="8"/>
  <c r="L814" i="8"/>
  <c r="K814" i="8"/>
  <c r="I814" i="8"/>
  <c r="H814" i="8"/>
  <c r="M813" i="8"/>
  <c r="L813" i="8"/>
  <c r="K813" i="8"/>
  <c r="I813" i="8"/>
  <c r="H813" i="8"/>
  <c r="M812" i="8"/>
  <c r="L812" i="8"/>
  <c r="K812" i="8"/>
  <c r="I812" i="8"/>
  <c r="H812" i="8"/>
  <c r="M811" i="8"/>
  <c r="L811" i="8"/>
  <c r="K811" i="8"/>
  <c r="I811" i="8"/>
  <c r="H811" i="8"/>
  <c r="M810" i="8"/>
  <c r="L810" i="8"/>
  <c r="K810" i="8"/>
  <c r="I810" i="8"/>
  <c r="H810" i="8"/>
  <c r="M809" i="8"/>
  <c r="L809" i="8"/>
  <c r="K809" i="8"/>
  <c r="I809" i="8"/>
  <c r="H809" i="8"/>
  <c r="M808" i="8"/>
  <c r="L808" i="8"/>
  <c r="K808" i="8"/>
  <c r="I808" i="8"/>
  <c r="H808" i="8"/>
  <c r="M807" i="8"/>
  <c r="L807" i="8"/>
  <c r="K807" i="8"/>
  <c r="I807" i="8"/>
  <c r="H807" i="8"/>
  <c r="M806" i="8"/>
  <c r="L806" i="8"/>
  <c r="K806" i="8"/>
  <c r="I806" i="8"/>
  <c r="H806" i="8"/>
  <c r="M805" i="8"/>
  <c r="L805" i="8"/>
  <c r="K805" i="8"/>
  <c r="I805" i="8"/>
  <c r="H805" i="8"/>
  <c r="M804" i="8"/>
  <c r="L804" i="8"/>
  <c r="K804" i="8"/>
  <c r="I804" i="8"/>
  <c r="H804" i="8"/>
  <c r="M803" i="8"/>
  <c r="L803" i="8"/>
  <c r="K803" i="8"/>
  <c r="I803" i="8"/>
  <c r="H803" i="8"/>
  <c r="M802" i="8"/>
  <c r="L802" i="8"/>
  <c r="K802" i="8"/>
  <c r="I802" i="8"/>
  <c r="H802" i="8"/>
  <c r="M801" i="8"/>
  <c r="L801" i="8"/>
  <c r="K801" i="8"/>
  <c r="I801" i="8"/>
  <c r="H801" i="8"/>
  <c r="M800" i="8"/>
  <c r="L800" i="8"/>
  <c r="K800" i="8"/>
  <c r="I800" i="8"/>
  <c r="H800" i="8"/>
  <c r="M799" i="8"/>
  <c r="L799" i="8"/>
  <c r="K799" i="8"/>
  <c r="I799" i="8"/>
  <c r="H799" i="8"/>
  <c r="M798" i="8"/>
  <c r="L798" i="8"/>
  <c r="K798" i="8"/>
  <c r="I798" i="8"/>
  <c r="H798" i="8"/>
  <c r="M797" i="8"/>
  <c r="L797" i="8"/>
  <c r="K797" i="8"/>
  <c r="I797" i="8"/>
  <c r="H797" i="8"/>
  <c r="M796" i="8"/>
  <c r="L796" i="8"/>
  <c r="K796" i="8"/>
  <c r="I796" i="8"/>
  <c r="H796" i="8"/>
  <c r="M795" i="8"/>
  <c r="L795" i="8"/>
  <c r="K795" i="8"/>
  <c r="I795" i="8"/>
  <c r="H795" i="8"/>
  <c r="M794" i="8"/>
  <c r="L794" i="8"/>
  <c r="K794" i="8"/>
  <c r="I794" i="8"/>
  <c r="H794" i="8"/>
  <c r="M793" i="8"/>
  <c r="L793" i="8"/>
  <c r="K793" i="8"/>
  <c r="I793" i="8"/>
  <c r="H793" i="8"/>
  <c r="M792" i="8"/>
  <c r="L792" i="8"/>
  <c r="K792" i="8"/>
  <c r="I792" i="8"/>
  <c r="H792" i="8"/>
  <c r="M791" i="8"/>
  <c r="L791" i="8"/>
  <c r="K791" i="8"/>
  <c r="I791" i="8"/>
  <c r="H791" i="8"/>
  <c r="M790" i="8"/>
  <c r="L790" i="8"/>
  <c r="K790" i="8"/>
  <c r="I790" i="8"/>
  <c r="H790" i="8"/>
  <c r="M789" i="8"/>
  <c r="L789" i="8"/>
  <c r="K789" i="8"/>
  <c r="I789" i="8"/>
  <c r="H789" i="8"/>
  <c r="M788" i="8"/>
  <c r="L788" i="8"/>
  <c r="K788" i="8"/>
  <c r="I788" i="8"/>
  <c r="H788" i="8"/>
  <c r="M787" i="8"/>
  <c r="L787" i="8"/>
  <c r="K787" i="8"/>
  <c r="I787" i="8"/>
  <c r="H787" i="8"/>
  <c r="M786" i="8"/>
  <c r="L786" i="8"/>
  <c r="K786" i="8"/>
  <c r="I786" i="8"/>
  <c r="H786" i="8"/>
  <c r="M785" i="8"/>
  <c r="L785" i="8"/>
  <c r="K785" i="8"/>
  <c r="I785" i="8"/>
  <c r="H785" i="8"/>
  <c r="M784" i="8"/>
  <c r="L784" i="8"/>
  <c r="K784" i="8"/>
  <c r="I784" i="8"/>
  <c r="H784" i="8"/>
  <c r="M783" i="8"/>
  <c r="L783" i="8"/>
  <c r="K783" i="8"/>
  <c r="I783" i="8"/>
  <c r="H783" i="8"/>
  <c r="M782" i="8"/>
  <c r="L782" i="8"/>
  <c r="K782" i="8"/>
  <c r="I782" i="8"/>
  <c r="H782" i="8"/>
  <c r="M781" i="8"/>
  <c r="L781" i="8"/>
  <c r="K781" i="8"/>
  <c r="I781" i="8"/>
  <c r="H781" i="8"/>
  <c r="M780" i="8"/>
  <c r="L780" i="8"/>
  <c r="K780" i="8"/>
  <c r="I780" i="8"/>
  <c r="H780" i="8"/>
  <c r="M779" i="8"/>
  <c r="L779" i="8"/>
  <c r="K779" i="8"/>
  <c r="I779" i="8"/>
  <c r="H779" i="8"/>
  <c r="M778" i="8"/>
  <c r="L778" i="8"/>
  <c r="K778" i="8"/>
  <c r="I778" i="8"/>
  <c r="H778" i="8"/>
  <c r="M777" i="8"/>
  <c r="L777" i="8"/>
  <c r="K777" i="8"/>
  <c r="I777" i="8"/>
  <c r="H777" i="8"/>
  <c r="M776" i="8"/>
  <c r="L776" i="8"/>
  <c r="K776" i="8"/>
  <c r="I776" i="8"/>
  <c r="H776" i="8"/>
  <c r="M775" i="8"/>
  <c r="L775" i="8"/>
  <c r="K775" i="8"/>
  <c r="I775" i="8"/>
  <c r="H775" i="8"/>
  <c r="M774" i="8"/>
  <c r="L774" i="8"/>
  <c r="K774" i="8"/>
  <c r="I774" i="8"/>
  <c r="H774" i="8"/>
  <c r="M773" i="8"/>
  <c r="L773" i="8"/>
  <c r="K773" i="8"/>
  <c r="I773" i="8"/>
  <c r="H773" i="8"/>
  <c r="M772" i="8"/>
  <c r="L772" i="8"/>
  <c r="K772" i="8"/>
  <c r="I772" i="8"/>
  <c r="H772" i="8"/>
  <c r="M771" i="8"/>
  <c r="L771" i="8"/>
  <c r="K771" i="8"/>
  <c r="I771" i="8"/>
  <c r="H771" i="8"/>
  <c r="M770" i="8"/>
  <c r="L770" i="8"/>
  <c r="K770" i="8"/>
  <c r="I770" i="8"/>
  <c r="H770" i="8"/>
  <c r="M769" i="8"/>
  <c r="L769" i="8"/>
  <c r="K769" i="8"/>
  <c r="I769" i="8"/>
  <c r="H769" i="8"/>
  <c r="M768" i="8"/>
  <c r="L768" i="8"/>
  <c r="K768" i="8"/>
  <c r="I768" i="8"/>
  <c r="H768" i="8"/>
  <c r="M767" i="8"/>
  <c r="L767" i="8"/>
  <c r="K767" i="8"/>
  <c r="I767" i="8"/>
  <c r="H767" i="8"/>
  <c r="M766" i="8"/>
  <c r="L766" i="8"/>
  <c r="K766" i="8"/>
  <c r="I766" i="8"/>
  <c r="H766" i="8"/>
  <c r="M765" i="8"/>
  <c r="L765" i="8"/>
  <c r="K765" i="8"/>
  <c r="I765" i="8"/>
  <c r="H765" i="8"/>
  <c r="M764" i="8"/>
  <c r="L764" i="8"/>
  <c r="K764" i="8"/>
  <c r="I764" i="8"/>
  <c r="H764" i="8"/>
  <c r="M763" i="8"/>
  <c r="L763" i="8"/>
  <c r="K763" i="8"/>
  <c r="I763" i="8"/>
  <c r="H763" i="8"/>
  <c r="M762" i="8"/>
  <c r="L762" i="8"/>
  <c r="K762" i="8"/>
  <c r="I762" i="8"/>
  <c r="H762" i="8"/>
  <c r="M761" i="8"/>
  <c r="L761" i="8"/>
  <c r="K761" i="8"/>
  <c r="I761" i="8"/>
  <c r="H761" i="8"/>
  <c r="M760" i="8"/>
  <c r="L760" i="8"/>
  <c r="K760" i="8"/>
  <c r="I760" i="8"/>
  <c r="H760" i="8"/>
  <c r="M759" i="8"/>
  <c r="L759" i="8"/>
  <c r="K759" i="8"/>
  <c r="I759" i="8"/>
  <c r="H759" i="8"/>
  <c r="M758" i="8"/>
  <c r="L758" i="8"/>
  <c r="K758" i="8"/>
  <c r="I758" i="8"/>
  <c r="H758" i="8"/>
  <c r="M757" i="8"/>
  <c r="L757" i="8"/>
  <c r="K757" i="8"/>
  <c r="I757" i="8"/>
  <c r="H757" i="8"/>
  <c r="M756" i="8"/>
  <c r="L756" i="8"/>
  <c r="K756" i="8"/>
  <c r="I756" i="8"/>
  <c r="H756" i="8"/>
  <c r="M755" i="8"/>
  <c r="L755" i="8"/>
  <c r="K755" i="8"/>
  <c r="I755" i="8"/>
  <c r="H755" i="8"/>
  <c r="M754" i="8"/>
  <c r="L754" i="8"/>
  <c r="K754" i="8"/>
  <c r="I754" i="8"/>
  <c r="H754" i="8"/>
  <c r="M753" i="8"/>
  <c r="L753" i="8"/>
  <c r="K753" i="8"/>
  <c r="I753" i="8"/>
  <c r="H753" i="8"/>
  <c r="M752" i="8"/>
  <c r="L752" i="8"/>
  <c r="K752" i="8"/>
  <c r="I752" i="8"/>
  <c r="H752" i="8"/>
  <c r="M751" i="8"/>
  <c r="L751" i="8"/>
  <c r="K751" i="8"/>
  <c r="I751" i="8"/>
  <c r="H751" i="8"/>
  <c r="M750" i="8"/>
  <c r="L750" i="8"/>
  <c r="K750" i="8"/>
  <c r="I750" i="8"/>
  <c r="H750" i="8"/>
  <c r="M749" i="8"/>
  <c r="L749" i="8"/>
  <c r="K749" i="8"/>
  <c r="I749" i="8"/>
  <c r="H749" i="8"/>
  <c r="M748" i="8"/>
  <c r="L748" i="8"/>
  <c r="K748" i="8"/>
  <c r="I748" i="8"/>
  <c r="H748" i="8"/>
  <c r="M747" i="8"/>
  <c r="L747" i="8"/>
  <c r="K747" i="8"/>
  <c r="I747" i="8"/>
  <c r="H747" i="8"/>
  <c r="M746" i="8"/>
  <c r="L746" i="8"/>
  <c r="K746" i="8"/>
  <c r="I746" i="8"/>
  <c r="H746" i="8"/>
  <c r="M745" i="8"/>
  <c r="L745" i="8"/>
  <c r="K745" i="8"/>
  <c r="I745" i="8"/>
  <c r="H745" i="8"/>
  <c r="M744" i="8"/>
  <c r="L744" i="8"/>
  <c r="K744" i="8"/>
  <c r="I744" i="8"/>
  <c r="H744" i="8"/>
  <c r="M743" i="8"/>
  <c r="L743" i="8"/>
  <c r="K743" i="8"/>
  <c r="I743" i="8"/>
  <c r="H743" i="8"/>
  <c r="M742" i="8"/>
  <c r="L742" i="8"/>
  <c r="K742" i="8"/>
  <c r="I742" i="8"/>
  <c r="H742" i="8"/>
  <c r="M741" i="8"/>
  <c r="L741" i="8"/>
  <c r="K741" i="8"/>
  <c r="I741" i="8"/>
  <c r="H741" i="8"/>
  <c r="M740" i="8"/>
  <c r="L740" i="8"/>
  <c r="K740" i="8"/>
  <c r="I740" i="8"/>
  <c r="H740" i="8"/>
  <c r="M739" i="8"/>
  <c r="L739" i="8"/>
  <c r="K739" i="8"/>
  <c r="I739" i="8"/>
  <c r="H739" i="8"/>
  <c r="M738" i="8"/>
  <c r="L738" i="8"/>
  <c r="K738" i="8"/>
  <c r="I738" i="8"/>
  <c r="H738" i="8"/>
  <c r="M737" i="8"/>
  <c r="L737" i="8"/>
  <c r="K737" i="8"/>
  <c r="I737" i="8"/>
  <c r="H737" i="8"/>
  <c r="M736" i="8"/>
  <c r="L736" i="8"/>
  <c r="K736" i="8"/>
  <c r="I736" i="8"/>
  <c r="H736" i="8"/>
  <c r="M735" i="8"/>
  <c r="L735" i="8"/>
  <c r="K735" i="8"/>
  <c r="I735" i="8"/>
  <c r="H735" i="8"/>
  <c r="M734" i="8"/>
  <c r="L734" i="8"/>
  <c r="K734" i="8"/>
  <c r="I734" i="8"/>
  <c r="H734" i="8"/>
  <c r="M733" i="8"/>
  <c r="L733" i="8"/>
  <c r="K733" i="8"/>
  <c r="I733" i="8"/>
  <c r="H733" i="8"/>
  <c r="M732" i="8"/>
  <c r="L732" i="8"/>
  <c r="K732" i="8"/>
  <c r="I732" i="8"/>
  <c r="H732" i="8"/>
  <c r="M731" i="8"/>
  <c r="L731" i="8"/>
  <c r="K731" i="8"/>
  <c r="I731" i="8"/>
  <c r="H731" i="8"/>
  <c r="M730" i="8"/>
  <c r="L730" i="8"/>
  <c r="K730" i="8"/>
  <c r="I730" i="8"/>
  <c r="H730" i="8"/>
  <c r="M729" i="8"/>
  <c r="L729" i="8"/>
  <c r="K729" i="8"/>
  <c r="I729" i="8"/>
  <c r="H729" i="8"/>
  <c r="M728" i="8"/>
  <c r="L728" i="8"/>
  <c r="K728" i="8"/>
  <c r="I728" i="8"/>
  <c r="H728" i="8"/>
  <c r="M727" i="8"/>
  <c r="L727" i="8"/>
  <c r="K727" i="8"/>
  <c r="I727" i="8"/>
  <c r="H727" i="8"/>
  <c r="M726" i="8"/>
  <c r="L726" i="8"/>
  <c r="K726" i="8"/>
  <c r="I726" i="8"/>
  <c r="H726" i="8"/>
  <c r="M725" i="8"/>
  <c r="L725" i="8"/>
  <c r="K725" i="8"/>
  <c r="I725" i="8"/>
  <c r="H725" i="8"/>
  <c r="M724" i="8"/>
  <c r="L724" i="8"/>
  <c r="K724" i="8"/>
  <c r="I724" i="8"/>
  <c r="H724" i="8"/>
  <c r="M723" i="8"/>
  <c r="L723" i="8"/>
  <c r="K723" i="8"/>
  <c r="I723" i="8"/>
  <c r="H723" i="8"/>
  <c r="M722" i="8"/>
  <c r="L722" i="8"/>
  <c r="K722" i="8"/>
  <c r="I722" i="8"/>
  <c r="H722" i="8"/>
  <c r="M721" i="8"/>
  <c r="L721" i="8"/>
  <c r="K721" i="8"/>
  <c r="I721" i="8"/>
  <c r="H721" i="8"/>
  <c r="M720" i="8"/>
  <c r="L720" i="8"/>
  <c r="K720" i="8"/>
  <c r="I720" i="8"/>
  <c r="H720" i="8"/>
  <c r="M719" i="8"/>
  <c r="L719" i="8"/>
  <c r="K719" i="8"/>
  <c r="I719" i="8"/>
  <c r="H719" i="8"/>
  <c r="M718" i="8"/>
  <c r="L718" i="8"/>
  <c r="K718" i="8"/>
  <c r="I718" i="8"/>
  <c r="H718" i="8"/>
  <c r="M717" i="8"/>
  <c r="L717" i="8"/>
  <c r="K717" i="8"/>
  <c r="I717" i="8"/>
  <c r="H717" i="8"/>
  <c r="M716" i="8"/>
  <c r="L716" i="8"/>
  <c r="K716" i="8"/>
  <c r="I716" i="8"/>
  <c r="H716" i="8"/>
  <c r="M715" i="8"/>
  <c r="L715" i="8"/>
  <c r="K715" i="8"/>
  <c r="I715" i="8"/>
  <c r="H715" i="8"/>
  <c r="M714" i="8"/>
  <c r="L714" i="8"/>
  <c r="K714" i="8"/>
  <c r="I714" i="8"/>
  <c r="H714" i="8"/>
  <c r="M713" i="8"/>
  <c r="L713" i="8"/>
  <c r="K713" i="8"/>
  <c r="I713" i="8"/>
  <c r="H713" i="8"/>
  <c r="M712" i="8"/>
  <c r="L712" i="8"/>
  <c r="K712" i="8"/>
  <c r="I712" i="8"/>
  <c r="H712" i="8"/>
  <c r="M711" i="8"/>
  <c r="L711" i="8"/>
  <c r="K711" i="8"/>
  <c r="I711" i="8"/>
  <c r="H711" i="8"/>
  <c r="M710" i="8"/>
  <c r="L710" i="8"/>
  <c r="K710" i="8"/>
  <c r="I710" i="8"/>
  <c r="H710" i="8"/>
  <c r="M709" i="8"/>
  <c r="L709" i="8"/>
  <c r="K709" i="8"/>
  <c r="I709" i="8"/>
  <c r="H709" i="8"/>
  <c r="M708" i="8"/>
  <c r="L708" i="8"/>
  <c r="K708" i="8"/>
  <c r="I708" i="8"/>
  <c r="H708" i="8"/>
  <c r="M707" i="8"/>
  <c r="L707" i="8"/>
  <c r="K707" i="8"/>
  <c r="I707" i="8"/>
  <c r="H707" i="8"/>
  <c r="M706" i="8"/>
  <c r="L706" i="8"/>
  <c r="K706" i="8"/>
  <c r="I706" i="8"/>
  <c r="H706" i="8"/>
  <c r="M705" i="8"/>
  <c r="L705" i="8"/>
  <c r="K705" i="8"/>
  <c r="I705" i="8"/>
  <c r="H705" i="8"/>
  <c r="M704" i="8"/>
  <c r="L704" i="8"/>
  <c r="K704" i="8"/>
  <c r="I704" i="8"/>
  <c r="H704" i="8"/>
  <c r="M703" i="8"/>
  <c r="L703" i="8"/>
  <c r="K703" i="8"/>
  <c r="I703" i="8"/>
  <c r="H703" i="8"/>
  <c r="M702" i="8"/>
  <c r="L702" i="8"/>
  <c r="K702" i="8"/>
  <c r="I702" i="8"/>
  <c r="H702" i="8"/>
  <c r="M701" i="8"/>
  <c r="L701" i="8"/>
  <c r="K701" i="8"/>
  <c r="I701" i="8"/>
  <c r="H701" i="8"/>
  <c r="M700" i="8"/>
  <c r="L700" i="8"/>
  <c r="K700" i="8"/>
  <c r="I700" i="8"/>
  <c r="H700" i="8"/>
  <c r="M699" i="8"/>
  <c r="L699" i="8"/>
  <c r="K699" i="8"/>
  <c r="I699" i="8"/>
  <c r="H699" i="8"/>
  <c r="M698" i="8"/>
  <c r="L698" i="8"/>
  <c r="K698" i="8"/>
  <c r="I698" i="8"/>
  <c r="H698" i="8"/>
  <c r="M697" i="8"/>
  <c r="L697" i="8"/>
  <c r="K697" i="8"/>
  <c r="I697" i="8"/>
  <c r="H697" i="8"/>
  <c r="M696" i="8"/>
  <c r="L696" i="8"/>
  <c r="K696" i="8"/>
  <c r="I696" i="8"/>
  <c r="H696" i="8"/>
  <c r="M695" i="8"/>
  <c r="L695" i="8"/>
  <c r="K695" i="8"/>
  <c r="I695" i="8"/>
  <c r="H695" i="8"/>
  <c r="M694" i="8"/>
  <c r="L694" i="8"/>
  <c r="K694" i="8"/>
  <c r="I694" i="8"/>
  <c r="H694" i="8"/>
  <c r="M693" i="8"/>
  <c r="L693" i="8"/>
  <c r="K693" i="8"/>
  <c r="I693" i="8"/>
  <c r="H693" i="8"/>
  <c r="M692" i="8"/>
  <c r="L692" i="8"/>
  <c r="K692" i="8"/>
  <c r="I692" i="8"/>
  <c r="H692" i="8"/>
  <c r="M691" i="8"/>
  <c r="L691" i="8"/>
  <c r="K691" i="8"/>
  <c r="I691" i="8"/>
  <c r="H691" i="8"/>
  <c r="M690" i="8"/>
  <c r="L690" i="8"/>
  <c r="K690" i="8"/>
  <c r="I690" i="8"/>
  <c r="H690" i="8"/>
  <c r="M689" i="8"/>
  <c r="L689" i="8"/>
  <c r="K689" i="8"/>
  <c r="I689" i="8"/>
  <c r="H689" i="8"/>
  <c r="M688" i="8"/>
  <c r="L688" i="8"/>
  <c r="K688" i="8"/>
  <c r="I688" i="8"/>
  <c r="H688" i="8"/>
  <c r="M687" i="8"/>
  <c r="L687" i="8"/>
  <c r="K687" i="8"/>
  <c r="I687" i="8"/>
  <c r="H687" i="8"/>
  <c r="M686" i="8"/>
  <c r="L686" i="8"/>
  <c r="K686" i="8"/>
  <c r="I686" i="8"/>
  <c r="H686" i="8"/>
  <c r="M685" i="8"/>
  <c r="L685" i="8"/>
  <c r="K685" i="8"/>
  <c r="I685" i="8"/>
  <c r="H685" i="8"/>
  <c r="M684" i="8"/>
  <c r="L684" i="8"/>
  <c r="K684" i="8"/>
  <c r="I684" i="8"/>
  <c r="H684" i="8"/>
  <c r="M683" i="8"/>
  <c r="L683" i="8"/>
  <c r="K683" i="8"/>
  <c r="I683" i="8"/>
  <c r="H683" i="8"/>
  <c r="M682" i="8"/>
  <c r="L682" i="8"/>
  <c r="K682" i="8"/>
  <c r="I682" i="8"/>
  <c r="H682" i="8"/>
  <c r="M681" i="8"/>
  <c r="L681" i="8"/>
  <c r="K681" i="8"/>
  <c r="I681" i="8"/>
  <c r="H681" i="8"/>
  <c r="M680" i="8"/>
  <c r="L680" i="8"/>
  <c r="K680" i="8"/>
  <c r="I680" i="8"/>
  <c r="H680" i="8"/>
  <c r="M679" i="8"/>
  <c r="L679" i="8"/>
  <c r="K679" i="8"/>
  <c r="I679" i="8"/>
  <c r="H679" i="8"/>
  <c r="M678" i="8"/>
  <c r="L678" i="8"/>
  <c r="K678" i="8"/>
  <c r="I678" i="8"/>
  <c r="H678" i="8"/>
  <c r="M677" i="8"/>
  <c r="L677" i="8"/>
  <c r="K677" i="8"/>
  <c r="I677" i="8"/>
  <c r="H677" i="8"/>
  <c r="M676" i="8"/>
  <c r="L676" i="8"/>
  <c r="K676" i="8"/>
  <c r="I676" i="8"/>
  <c r="H676" i="8"/>
  <c r="M675" i="8"/>
  <c r="L675" i="8"/>
  <c r="K675" i="8"/>
  <c r="I675" i="8"/>
  <c r="H675" i="8"/>
  <c r="M674" i="8"/>
  <c r="L674" i="8"/>
  <c r="K674" i="8"/>
  <c r="I674" i="8"/>
  <c r="H674" i="8"/>
  <c r="M673" i="8"/>
  <c r="L673" i="8"/>
  <c r="K673" i="8"/>
  <c r="I673" i="8"/>
  <c r="H673" i="8"/>
  <c r="M672" i="8"/>
  <c r="L672" i="8"/>
  <c r="K672" i="8"/>
  <c r="I672" i="8"/>
  <c r="H672" i="8"/>
  <c r="M671" i="8"/>
  <c r="L671" i="8"/>
  <c r="K671" i="8"/>
  <c r="I671" i="8"/>
  <c r="H671" i="8"/>
  <c r="M670" i="8"/>
  <c r="L670" i="8"/>
  <c r="K670" i="8"/>
  <c r="I670" i="8"/>
  <c r="H670" i="8"/>
  <c r="M669" i="8"/>
  <c r="L669" i="8"/>
  <c r="K669" i="8"/>
  <c r="I669" i="8"/>
  <c r="H669" i="8"/>
  <c r="M668" i="8"/>
  <c r="L668" i="8"/>
  <c r="K668" i="8"/>
  <c r="I668" i="8"/>
  <c r="H668" i="8"/>
  <c r="M667" i="8"/>
  <c r="L667" i="8"/>
  <c r="K667" i="8"/>
  <c r="I667" i="8"/>
  <c r="H667" i="8"/>
  <c r="M666" i="8"/>
  <c r="L666" i="8"/>
  <c r="K666" i="8"/>
  <c r="I666" i="8"/>
  <c r="H666" i="8"/>
  <c r="M665" i="8"/>
  <c r="L665" i="8"/>
  <c r="K665" i="8"/>
  <c r="I665" i="8"/>
  <c r="H665" i="8"/>
  <c r="M664" i="8"/>
  <c r="L664" i="8"/>
  <c r="K664" i="8"/>
  <c r="I664" i="8"/>
  <c r="H664" i="8"/>
  <c r="M663" i="8"/>
  <c r="L663" i="8"/>
  <c r="K663" i="8"/>
  <c r="I663" i="8"/>
  <c r="H663" i="8"/>
  <c r="M662" i="8"/>
  <c r="L662" i="8"/>
  <c r="K662" i="8"/>
  <c r="I662" i="8"/>
  <c r="H662" i="8"/>
  <c r="M661" i="8"/>
  <c r="L661" i="8"/>
  <c r="K661" i="8"/>
  <c r="I661" i="8"/>
  <c r="H661" i="8"/>
  <c r="M660" i="8"/>
  <c r="L660" i="8"/>
  <c r="K660" i="8"/>
  <c r="I660" i="8"/>
  <c r="H660" i="8"/>
  <c r="M659" i="8"/>
  <c r="L659" i="8"/>
  <c r="K659" i="8"/>
  <c r="I659" i="8"/>
  <c r="H659" i="8"/>
  <c r="M658" i="8"/>
  <c r="L658" i="8"/>
  <c r="K658" i="8"/>
  <c r="I658" i="8"/>
  <c r="H658" i="8"/>
  <c r="M657" i="8"/>
  <c r="L657" i="8"/>
  <c r="K657" i="8"/>
  <c r="I657" i="8"/>
  <c r="H657" i="8"/>
  <c r="M656" i="8"/>
  <c r="L656" i="8"/>
  <c r="K656" i="8"/>
  <c r="I656" i="8"/>
  <c r="H656" i="8"/>
  <c r="M655" i="8"/>
  <c r="L655" i="8"/>
  <c r="K655" i="8"/>
  <c r="I655" i="8"/>
  <c r="H655" i="8"/>
  <c r="M654" i="8"/>
  <c r="L654" i="8"/>
  <c r="K654" i="8"/>
  <c r="I654" i="8"/>
  <c r="H654" i="8"/>
  <c r="M653" i="8"/>
  <c r="L653" i="8"/>
  <c r="K653" i="8"/>
  <c r="I653" i="8"/>
  <c r="H653" i="8"/>
  <c r="M652" i="8"/>
  <c r="L652" i="8"/>
  <c r="K652" i="8"/>
  <c r="I652" i="8"/>
  <c r="H652" i="8"/>
  <c r="M651" i="8"/>
  <c r="L651" i="8"/>
  <c r="K651" i="8"/>
  <c r="I651" i="8"/>
  <c r="H651" i="8"/>
  <c r="M650" i="8"/>
  <c r="L650" i="8"/>
  <c r="K650" i="8"/>
  <c r="I650" i="8"/>
  <c r="H650" i="8"/>
  <c r="M649" i="8"/>
  <c r="L649" i="8"/>
  <c r="K649" i="8"/>
  <c r="I649" i="8"/>
  <c r="H649" i="8"/>
  <c r="M648" i="8"/>
  <c r="L648" i="8"/>
  <c r="K648" i="8"/>
  <c r="I648" i="8"/>
  <c r="H648" i="8"/>
  <c r="M647" i="8"/>
  <c r="L647" i="8"/>
  <c r="K647" i="8"/>
  <c r="I647" i="8"/>
  <c r="H647" i="8"/>
  <c r="M646" i="8"/>
  <c r="L646" i="8"/>
  <c r="K646" i="8"/>
  <c r="I646" i="8"/>
  <c r="H646" i="8"/>
  <c r="M645" i="8"/>
  <c r="L645" i="8"/>
  <c r="K645" i="8"/>
  <c r="I645" i="8"/>
  <c r="H645" i="8"/>
  <c r="M644" i="8"/>
  <c r="L644" i="8"/>
  <c r="K644" i="8"/>
  <c r="I644" i="8"/>
  <c r="H644" i="8"/>
  <c r="M643" i="8"/>
  <c r="L643" i="8"/>
  <c r="K643" i="8"/>
  <c r="I643" i="8"/>
  <c r="H643" i="8"/>
  <c r="M642" i="8"/>
  <c r="L642" i="8"/>
  <c r="K642" i="8"/>
  <c r="I642" i="8"/>
  <c r="H642" i="8"/>
  <c r="M641" i="8"/>
  <c r="L641" i="8"/>
  <c r="K641" i="8"/>
  <c r="I641" i="8"/>
  <c r="H641" i="8"/>
  <c r="M640" i="8"/>
  <c r="L640" i="8"/>
  <c r="K640" i="8"/>
  <c r="I640" i="8"/>
  <c r="H640" i="8"/>
  <c r="M639" i="8"/>
  <c r="L639" i="8"/>
  <c r="K639" i="8"/>
  <c r="I639" i="8"/>
  <c r="H639" i="8"/>
  <c r="M638" i="8"/>
  <c r="L638" i="8"/>
  <c r="K638" i="8"/>
  <c r="I638" i="8"/>
  <c r="H638" i="8"/>
  <c r="M637" i="8"/>
  <c r="L637" i="8"/>
  <c r="K637" i="8"/>
  <c r="I637" i="8"/>
  <c r="H637" i="8"/>
  <c r="M636" i="8"/>
  <c r="L636" i="8"/>
  <c r="K636" i="8"/>
  <c r="I636" i="8"/>
  <c r="H636" i="8"/>
  <c r="M635" i="8"/>
  <c r="L635" i="8"/>
  <c r="K635" i="8"/>
  <c r="I635" i="8"/>
  <c r="H635" i="8"/>
  <c r="M634" i="8"/>
  <c r="L634" i="8"/>
  <c r="K634" i="8"/>
  <c r="I634" i="8"/>
  <c r="H634" i="8"/>
  <c r="M633" i="8"/>
  <c r="L633" i="8"/>
  <c r="K633" i="8"/>
  <c r="I633" i="8"/>
  <c r="H633" i="8"/>
  <c r="M632" i="8"/>
  <c r="L632" i="8"/>
  <c r="K632" i="8"/>
  <c r="I632" i="8"/>
  <c r="H632" i="8"/>
  <c r="M631" i="8"/>
  <c r="L631" i="8"/>
  <c r="K631" i="8"/>
  <c r="I631" i="8"/>
  <c r="H631" i="8"/>
  <c r="M630" i="8"/>
  <c r="L630" i="8"/>
  <c r="K630" i="8"/>
  <c r="I630" i="8"/>
  <c r="H630" i="8"/>
  <c r="M629" i="8"/>
  <c r="L629" i="8"/>
  <c r="K629" i="8"/>
  <c r="I629" i="8"/>
  <c r="H629" i="8"/>
  <c r="M628" i="8"/>
  <c r="L628" i="8"/>
  <c r="K628" i="8"/>
  <c r="I628" i="8"/>
  <c r="H628" i="8"/>
  <c r="M627" i="8"/>
  <c r="L627" i="8"/>
  <c r="K627" i="8"/>
  <c r="I627" i="8"/>
  <c r="H627" i="8"/>
  <c r="M626" i="8"/>
  <c r="L626" i="8"/>
  <c r="K626" i="8"/>
  <c r="I626" i="8"/>
  <c r="H626" i="8"/>
  <c r="M625" i="8"/>
  <c r="L625" i="8"/>
  <c r="K625" i="8"/>
  <c r="I625" i="8"/>
  <c r="H625" i="8"/>
  <c r="M624" i="8"/>
  <c r="L624" i="8"/>
  <c r="K624" i="8"/>
  <c r="I624" i="8"/>
  <c r="H624" i="8"/>
  <c r="M623" i="8"/>
  <c r="L623" i="8"/>
  <c r="K623" i="8"/>
  <c r="I623" i="8"/>
  <c r="H623" i="8"/>
  <c r="M622" i="8"/>
  <c r="L622" i="8"/>
  <c r="K622" i="8"/>
  <c r="I622" i="8"/>
  <c r="H622" i="8"/>
  <c r="M621" i="8"/>
  <c r="L621" i="8"/>
  <c r="K621" i="8"/>
  <c r="I621" i="8"/>
  <c r="H621" i="8"/>
  <c r="M620" i="8"/>
  <c r="L620" i="8"/>
  <c r="K620" i="8"/>
  <c r="I620" i="8"/>
  <c r="H620" i="8"/>
  <c r="M619" i="8"/>
  <c r="L619" i="8"/>
  <c r="K619" i="8"/>
  <c r="I619" i="8"/>
  <c r="H619" i="8"/>
  <c r="M618" i="8"/>
  <c r="L618" i="8"/>
  <c r="K618" i="8"/>
  <c r="I618" i="8"/>
  <c r="H618" i="8"/>
  <c r="M617" i="8"/>
  <c r="L617" i="8"/>
  <c r="K617" i="8"/>
  <c r="I617" i="8"/>
  <c r="H617" i="8"/>
  <c r="M616" i="8"/>
  <c r="L616" i="8"/>
  <c r="K616" i="8"/>
  <c r="I616" i="8"/>
  <c r="H616" i="8"/>
  <c r="M615" i="8"/>
  <c r="L615" i="8"/>
  <c r="K615" i="8"/>
  <c r="I615" i="8"/>
  <c r="H615" i="8"/>
  <c r="M614" i="8"/>
  <c r="L614" i="8"/>
  <c r="K614" i="8"/>
  <c r="I614" i="8"/>
  <c r="H614" i="8"/>
  <c r="M613" i="8"/>
  <c r="L613" i="8"/>
  <c r="K613" i="8"/>
  <c r="I613" i="8"/>
  <c r="H613" i="8"/>
  <c r="M612" i="8"/>
  <c r="L612" i="8"/>
  <c r="K612" i="8"/>
  <c r="I612" i="8"/>
  <c r="H612" i="8"/>
  <c r="M611" i="8"/>
  <c r="L611" i="8"/>
  <c r="K611" i="8"/>
  <c r="I611" i="8"/>
  <c r="H611" i="8"/>
  <c r="M610" i="8"/>
  <c r="L610" i="8"/>
  <c r="K610" i="8"/>
  <c r="I610" i="8"/>
  <c r="H610" i="8"/>
  <c r="M609" i="8"/>
  <c r="L609" i="8"/>
  <c r="K609" i="8"/>
  <c r="I609" i="8"/>
  <c r="H609" i="8"/>
  <c r="M608" i="8"/>
  <c r="L608" i="8"/>
  <c r="K608" i="8"/>
  <c r="I608" i="8"/>
  <c r="H608" i="8"/>
  <c r="M607" i="8"/>
  <c r="L607" i="8"/>
  <c r="K607" i="8"/>
  <c r="I607" i="8"/>
  <c r="H607" i="8"/>
  <c r="M606" i="8"/>
  <c r="L606" i="8"/>
  <c r="K606" i="8"/>
  <c r="I606" i="8"/>
  <c r="H606" i="8"/>
  <c r="M605" i="8"/>
  <c r="L605" i="8"/>
  <c r="K605" i="8"/>
  <c r="I605" i="8"/>
  <c r="H605" i="8"/>
  <c r="M604" i="8"/>
  <c r="L604" i="8"/>
  <c r="K604" i="8"/>
  <c r="I604" i="8"/>
  <c r="H604" i="8"/>
  <c r="M603" i="8"/>
  <c r="L603" i="8"/>
  <c r="K603" i="8"/>
  <c r="I603" i="8"/>
  <c r="H603" i="8"/>
  <c r="M602" i="8"/>
  <c r="L602" i="8"/>
  <c r="K602" i="8"/>
  <c r="I602" i="8"/>
  <c r="H602" i="8"/>
  <c r="M601" i="8"/>
  <c r="L601" i="8"/>
  <c r="K601" i="8"/>
  <c r="I601" i="8"/>
  <c r="H601" i="8"/>
  <c r="M600" i="8"/>
  <c r="L600" i="8"/>
  <c r="K600" i="8"/>
  <c r="I600" i="8"/>
  <c r="H600" i="8"/>
  <c r="M599" i="8"/>
  <c r="L599" i="8"/>
  <c r="K599" i="8"/>
  <c r="I599" i="8"/>
  <c r="H599" i="8"/>
  <c r="M598" i="8"/>
  <c r="L598" i="8"/>
  <c r="K598" i="8"/>
  <c r="I598" i="8"/>
  <c r="H598" i="8"/>
  <c r="M597" i="8"/>
  <c r="L597" i="8"/>
  <c r="K597" i="8"/>
  <c r="I597" i="8"/>
  <c r="H597" i="8"/>
  <c r="M596" i="8"/>
  <c r="L596" i="8"/>
  <c r="K596" i="8"/>
  <c r="I596" i="8"/>
  <c r="H596" i="8"/>
  <c r="M595" i="8"/>
  <c r="L595" i="8"/>
  <c r="K595" i="8"/>
  <c r="I595" i="8"/>
  <c r="H595" i="8"/>
  <c r="M594" i="8"/>
  <c r="L594" i="8"/>
  <c r="K594" i="8"/>
  <c r="I594" i="8"/>
  <c r="H594" i="8"/>
  <c r="M593" i="8"/>
  <c r="L593" i="8"/>
  <c r="K593" i="8"/>
  <c r="I593" i="8"/>
  <c r="H593" i="8"/>
  <c r="M592" i="8"/>
  <c r="L592" i="8"/>
  <c r="K592" i="8"/>
  <c r="I592" i="8"/>
  <c r="H592" i="8"/>
  <c r="M591" i="8"/>
  <c r="L591" i="8"/>
  <c r="K591" i="8"/>
  <c r="I591" i="8"/>
  <c r="H591" i="8"/>
  <c r="M590" i="8"/>
  <c r="L590" i="8"/>
  <c r="K590" i="8"/>
  <c r="I590" i="8"/>
  <c r="H590" i="8"/>
  <c r="M589" i="8"/>
  <c r="L589" i="8"/>
  <c r="K589" i="8"/>
  <c r="I589" i="8"/>
  <c r="H589" i="8"/>
  <c r="M588" i="8"/>
  <c r="L588" i="8"/>
  <c r="K588" i="8"/>
  <c r="I588" i="8"/>
  <c r="H588" i="8"/>
  <c r="M587" i="8"/>
  <c r="L587" i="8"/>
  <c r="K587" i="8"/>
  <c r="I587" i="8"/>
  <c r="H587" i="8"/>
  <c r="M586" i="8"/>
  <c r="L586" i="8"/>
  <c r="K586" i="8"/>
  <c r="I586" i="8"/>
  <c r="H586" i="8"/>
  <c r="M585" i="8"/>
  <c r="L585" i="8"/>
  <c r="K585" i="8"/>
  <c r="I585" i="8"/>
  <c r="H585" i="8"/>
  <c r="M584" i="8"/>
  <c r="L584" i="8"/>
  <c r="K584" i="8"/>
  <c r="I584" i="8"/>
  <c r="H584" i="8"/>
  <c r="M583" i="8"/>
  <c r="L583" i="8"/>
  <c r="K583" i="8"/>
  <c r="I583" i="8"/>
  <c r="H583" i="8"/>
  <c r="M582" i="8"/>
  <c r="L582" i="8"/>
  <c r="K582" i="8"/>
  <c r="I582" i="8"/>
  <c r="H582" i="8"/>
  <c r="M581" i="8"/>
  <c r="L581" i="8"/>
  <c r="K581" i="8"/>
  <c r="I581" i="8"/>
  <c r="H581" i="8"/>
  <c r="M580" i="8"/>
  <c r="L580" i="8"/>
  <c r="K580" i="8"/>
  <c r="I580" i="8"/>
  <c r="H580" i="8"/>
  <c r="M579" i="8"/>
  <c r="L579" i="8"/>
  <c r="K579" i="8"/>
  <c r="I579" i="8"/>
  <c r="H579" i="8"/>
  <c r="M578" i="8"/>
  <c r="L578" i="8"/>
  <c r="K578" i="8"/>
  <c r="I578" i="8"/>
  <c r="H578" i="8"/>
  <c r="M577" i="8"/>
  <c r="L577" i="8"/>
  <c r="K577" i="8"/>
  <c r="I577" i="8"/>
  <c r="H577" i="8"/>
  <c r="M576" i="8"/>
  <c r="L576" i="8"/>
  <c r="K576" i="8"/>
  <c r="I576" i="8"/>
  <c r="H576" i="8"/>
  <c r="M575" i="8"/>
  <c r="L575" i="8"/>
  <c r="K575" i="8"/>
  <c r="I575" i="8"/>
  <c r="H575" i="8"/>
  <c r="M574" i="8"/>
  <c r="L574" i="8"/>
  <c r="K574" i="8"/>
  <c r="I574" i="8"/>
  <c r="H574" i="8"/>
  <c r="M573" i="8"/>
  <c r="L573" i="8"/>
  <c r="K573" i="8"/>
  <c r="I573" i="8"/>
  <c r="H573" i="8"/>
  <c r="M572" i="8"/>
  <c r="L572" i="8"/>
  <c r="K572" i="8"/>
  <c r="I572" i="8"/>
  <c r="H572" i="8"/>
  <c r="M571" i="8"/>
  <c r="L571" i="8"/>
  <c r="K571" i="8"/>
  <c r="I571" i="8"/>
  <c r="H571" i="8"/>
  <c r="M570" i="8"/>
  <c r="L570" i="8"/>
  <c r="K570" i="8"/>
  <c r="I570" i="8"/>
  <c r="H570" i="8"/>
  <c r="M569" i="8"/>
  <c r="L569" i="8"/>
  <c r="K569" i="8"/>
  <c r="I569" i="8"/>
  <c r="H569" i="8"/>
  <c r="M568" i="8"/>
  <c r="L568" i="8"/>
  <c r="K568" i="8"/>
  <c r="I568" i="8"/>
  <c r="H568" i="8"/>
  <c r="M567" i="8"/>
  <c r="L567" i="8"/>
  <c r="K567" i="8"/>
  <c r="I567" i="8"/>
  <c r="H567" i="8"/>
  <c r="M566" i="8"/>
  <c r="L566" i="8"/>
  <c r="K566" i="8"/>
  <c r="I566" i="8"/>
  <c r="H566" i="8"/>
  <c r="M565" i="8"/>
  <c r="L565" i="8"/>
  <c r="K565" i="8"/>
  <c r="I565" i="8"/>
  <c r="H565" i="8"/>
  <c r="M564" i="8"/>
  <c r="L564" i="8"/>
  <c r="K564" i="8"/>
  <c r="I564" i="8"/>
  <c r="H564" i="8"/>
  <c r="M563" i="8"/>
  <c r="L563" i="8"/>
  <c r="K563" i="8"/>
  <c r="I563" i="8"/>
  <c r="H563" i="8"/>
  <c r="M562" i="8"/>
  <c r="L562" i="8"/>
  <c r="K562" i="8"/>
  <c r="I562" i="8"/>
  <c r="H562" i="8"/>
  <c r="M561" i="8"/>
  <c r="L561" i="8"/>
  <c r="K561" i="8"/>
  <c r="I561" i="8"/>
  <c r="H561" i="8"/>
  <c r="M560" i="8"/>
  <c r="L560" i="8"/>
  <c r="K560" i="8"/>
  <c r="I560" i="8"/>
  <c r="H560" i="8"/>
  <c r="M559" i="8"/>
  <c r="L559" i="8"/>
  <c r="K559" i="8"/>
  <c r="I559" i="8"/>
  <c r="H559" i="8"/>
  <c r="M558" i="8"/>
  <c r="L558" i="8"/>
  <c r="K558" i="8"/>
  <c r="I558" i="8"/>
  <c r="H558" i="8"/>
  <c r="M557" i="8"/>
  <c r="L557" i="8"/>
  <c r="K557" i="8"/>
  <c r="I557" i="8"/>
  <c r="H557" i="8"/>
  <c r="M556" i="8"/>
  <c r="L556" i="8"/>
  <c r="K556" i="8"/>
  <c r="I556" i="8"/>
  <c r="H556" i="8"/>
  <c r="M555" i="8"/>
  <c r="L555" i="8"/>
  <c r="K555" i="8"/>
  <c r="I555" i="8"/>
  <c r="H555" i="8"/>
  <c r="M554" i="8"/>
  <c r="L554" i="8"/>
  <c r="K554" i="8"/>
  <c r="I554" i="8"/>
  <c r="H554" i="8"/>
  <c r="M553" i="8"/>
  <c r="L553" i="8"/>
  <c r="K553" i="8"/>
  <c r="I553" i="8"/>
  <c r="H553" i="8"/>
  <c r="M552" i="8"/>
  <c r="L552" i="8"/>
  <c r="K552" i="8"/>
  <c r="I552" i="8"/>
  <c r="H552" i="8"/>
  <c r="M551" i="8"/>
  <c r="L551" i="8"/>
  <c r="K551" i="8"/>
  <c r="I551" i="8"/>
  <c r="H551" i="8"/>
  <c r="M550" i="8"/>
  <c r="L550" i="8"/>
  <c r="K550" i="8"/>
  <c r="I550" i="8"/>
  <c r="H550" i="8"/>
  <c r="M549" i="8"/>
  <c r="L549" i="8"/>
  <c r="K549" i="8"/>
  <c r="I549" i="8"/>
  <c r="H549" i="8"/>
  <c r="M548" i="8"/>
  <c r="L548" i="8"/>
  <c r="K548" i="8"/>
  <c r="I548" i="8"/>
  <c r="H548" i="8"/>
  <c r="M547" i="8"/>
  <c r="L547" i="8"/>
  <c r="K547" i="8"/>
  <c r="I547" i="8"/>
  <c r="H547" i="8"/>
  <c r="M546" i="8"/>
  <c r="L546" i="8"/>
  <c r="K546" i="8"/>
  <c r="I546" i="8"/>
  <c r="H546" i="8"/>
  <c r="M545" i="8"/>
  <c r="L545" i="8"/>
  <c r="K545" i="8"/>
  <c r="I545" i="8"/>
  <c r="H545" i="8"/>
  <c r="M544" i="8"/>
  <c r="L544" i="8"/>
  <c r="K544" i="8"/>
  <c r="I544" i="8"/>
  <c r="H544" i="8"/>
  <c r="M543" i="8"/>
  <c r="L543" i="8"/>
  <c r="K543" i="8"/>
  <c r="I543" i="8"/>
  <c r="H543" i="8"/>
  <c r="M542" i="8"/>
  <c r="L542" i="8"/>
  <c r="K542" i="8"/>
  <c r="I542" i="8"/>
  <c r="H542" i="8"/>
  <c r="M541" i="8"/>
  <c r="L541" i="8"/>
  <c r="K541" i="8"/>
  <c r="I541" i="8"/>
  <c r="H541" i="8"/>
  <c r="M540" i="8"/>
  <c r="L540" i="8"/>
  <c r="K540" i="8"/>
  <c r="I540" i="8"/>
  <c r="H540" i="8"/>
  <c r="M539" i="8"/>
  <c r="L539" i="8"/>
  <c r="K539" i="8"/>
  <c r="I539" i="8"/>
  <c r="H539" i="8"/>
  <c r="M538" i="8"/>
  <c r="L538" i="8"/>
  <c r="K538" i="8"/>
  <c r="I538" i="8"/>
  <c r="H538" i="8"/>
  <c r="M537" i="8"/>
  <c r="L537" i="8"/>
  <c r="K537" i="8"/>
  <c r="I537" i="8"/>
  <c r="H537" i="8"/>
  <c r="M536" i="8"/>
  <c r="L536" i="8"/>
  <c r="K536" i="8"/>
  <c r="I536" i="8"/>
  <c r="H536" i="8"/>
  <c r="M535" i="8"/>
  <c r="L535" i="8"/>
  <c r="K535" i="8"/>
  <c r="I535" i="8"/>
  <c r="H535" i="8"/>
  <c r="M534" i="8"/>
  <c r="L534" i="8"/>
  <c r="K534" i="8"/>
  <c r="I534" i="8"/>
  <c r="H534" i="8"/>
  <c r="M533" i="8"/>
  <c r="L533" i="8"/>
  <c r="K533" i="8"/>
  <c r="I533" i="8"/>
  <c r="H533" i="8"/>
  <c r="M532" i="8"/>
  <c r="L532" i="8"/>
  <c r="K532" i="8"/>
  <c r="I532" i="8"/>
  <c r="H532" i="8"/>
  <c r="M531" i="8"/>
  <c r="L531" i="8"/>
  <c r="K531" i="8"/>
  <c r="I531" i="8"/>
  <c r="H531" i="8"/>
  <c r="M530" i="8"/>
  <c r="L530" i="8"/>
  <c r="K530" i="8"/>
  <c r="I530" i="8"/>
  <c r="H530" i="8"/>
  <c r="M529" i="8"/>
  <c r="L529" i="8"/>
  <c r="K529" i="8"/>
  <c r="I529" i="8"/>
  <c r="H529" i="8"/>
  <c r="M528" i="8"/>
  <c r="L528" i="8"/>
  <c r="K528" i="8"/>
  <c r="I528" i="8"/>
  <c r="H528" i="8"/>
  <c r="M527" i="8"/>
  <c r="L527" i="8"/>
  <c r="K527" i="8"/>
  <c r="I527" i="8"/>
  <c r="H527" i="8"/>
  <c r="M526" i="8"/>
  <c r="L526" i="8"/>
  <c r="K526" i="8"/>
  <c r="I526" i="8"/>
  <c r="H526" i="8"/>
  <c r="M525" i="8"/>
  <c r="L525" i="8"/>
  <c r="K525" i="8"/>
  <c r="I525" i="8"/>
  <c r="H525" i="8"/>
  <c r="M524" i="8"/>
  <c r="L524" i="8"/>
  <c r="K524" i="8"/>
  <c r="I524" i="8"/>
  <c r="H524" i="8"/>
  <c r="M523" i="8"/>
  <c r="L523" i="8"/>
  <c r="K523" i="8"/>
  <c r="I523" i="8"/>
  <c r="H523" i="8"/>
  <c r="M522" i="8"/>
  <c r="L522" i="8"/>
  <c r="K522" i="8"/>
  <c r="I522" i="8"/>
  <c r="H522" i="8"/>
  <c r="M521" i="8"/>
  <c r="L521" i="8"/>
  <c r="K521" i="8"/>
  <c r="I521" i="8"/>
  <c r="H521" i="8"/>
  <c r="M520" i="8"/>
  <c r="L520" i="8"/>
  <c r="K520" i="8"/>
  <c r="I520" i="8"/>
  <c r="H520" i="8"/>
  <c r="M519" i="8"/>
  <c r="L519" i="8"/>
  <c r="K519" i="8"/>
  <c r="I519" i="8"/>
  <c r="H519" i="8"/>
  <c r="M518" i="8"/>
  <c r="L518" i="8"/>
  <c r="K518" i="8"/>
  <c r="I518" i="8"/>
  <c r="H518" i="8"/>
  <c r="M517" i="8"/>
  <c r="L517" i="8"/>
  <c r="K517" i="8"/>
  <c r="I517" i="8"/>
  <c r="H517" i="8"/>
  <c r="M516" i="8"/>
  <c r="L516" i="8"/>
  <c r="K516" i="8"/>
  <c r="I516" i="8"/>
  <c r="H516" i="8"/>
  <c r="M515" i="8"/>
  <c r="L515" i="8"/>
  <c r="K515" i="8"/>
  <c r="I515" i="8"/>
  <c r="H515" i="8"/>
  <c r="M514" i="8"/>
  <c r="L514" i="8"/>
  <c r="K514" i="8"/>
  <c r="I514" i="8"/>
  <c r="H514" i="8"/>
  <c r="M513" i="8"/>
  <c r="L513" i="8"/>
  <c r="K513" i="8"/>
  <c r="I513" i="8"/>
  <c r="H513" i="8"/>
  <c r="M512" i="8"/>
  <c r="L512" i="8"/>
  <c r="K512" i="8"/>
  <c r="I512" i="8"/>
  <c r="H512" i="8"/>
  <c r="M511" i="8"/>
  <c r="L511" i="8"/>
  <c r="K511" i="8"/>
  <c r="I511" i="8"/>
  <c r="H511" i="8"/>
  <c r="M510" i="8"/>
  <c r="L510" i="8"/>
  <c r="K510" i="8"/>
  <c r="I510" i="8"/>
  <c r="H510" i="8"/>
  <c r="M509" i="8"/>
  <c r="L509" i="8"/>
  <c r="K509" i="8"/>
  <c r="I509" i="8"/>
  <c r="H509" i="8"/>
  <c r="M508" i="8"/>
  <c r="L508" i="8"/>
  <c r="K508" i="8"/>
  <c r="I508" i="8"/>
  <c r="H508" i="8"/>
  <c r="M507" i="8"/>
  <c r="L507" i="8"/>
  <c r="K507" i="8"/>
  <c r="I507" i="8"/>
  <c r="H507" i="8"/>
  <c r="M506" i="8"/>
  <c r="L506" i="8"/>
  <c r="K506" i="8"/>
  <c r="I506" i="8"/>
  <c r="H506" i="8"/>
  <c r="M505" i="8"/>
  <c r="L505" i="8"/>
  <c r="K505" i="8"/>
  <c r="I505" i="8"/>
  <c r="H505" i="8"/>
  <c r="M504" i="8"/>
  <c r="L504" i="8"/>
  <c r="K504" i="8"/>
  <c r="I504" i="8"/>
  <c r="H504" i="8"/>
  <c r="M503" i="8"/>
  <c r="L503" i="8"/>
  <c r="K503" i="8"/>
  <c r="I503" i="8"/>
  <c r="H503" i="8"/>
  <c r="M502" i="8"/>
  <c r="L502" i="8"/>
  <c r="K502" i="8"/>
  <c r="I502" i="8"/>
  <c r="H502" i="8"/>
  <c r="M501" i="8"/>
  <c r="L501" i="8"/>
  <c r="K501" i="8"/>
  <c r="I501" i="8"/>
  <c r="H501" i="8"/>
  <c r="M500" i="8"/>
  <c r="L500" i="8"/>
  <c r="K500" i="8"/>
  <c r="I500" i="8"/>
  <c r="H500" i="8"/>
  <c r="M499" i="8"/>
  <c r="L499" i="8"/>
  <c r="K499" i="8"/>
  <c r="I499" i="8"/>
  <c r="H499" i="8"/>
  <c r="M498" i="8"/>
  <c r="L498" i="8"/>
  <c r="K498" i="8"/>
  <c r="I498" i="8"/>
  <c r="H498" i="8"/>
  <c r="M497" i="8"/>
  <c r="L497" i="8"/>
  <c r="K497" i="8"/>
  <c r="I497" i="8"/>
  <c r="H497" i="8"/>
  <c r="M496" i="8"/>
  <c r="L496" i="8"/>
  <c r="K496" i="8"/>
  <c r="I496" i="8"/>
  <c r="H496" i="8"/>
  <c r="M495" i="8"/>
  <c r="L495" i="8"/>
  <c r="K495" i="8"/>
  <c r="I495" i="8"/>
  <c r="H495" i="8"/>
  <c r="M494" i="8"/>
  <c r="L494" i="8"/>
  <c r="K494" i="8"/>
  <c r="I494" i="8"/>
  <c r="H494" i="8"/>
  <c r="M493" i="8"/>
  <c r="L493" i="8"/>
  <c r="K493" i="8"/>
  <c r="I493" i="8"/>
  <c r="H493" i="8"/>
  <c r="M492" i="8"/>
  <c r="L492" i="8"/>
  <c r="K492" i="8"/>
  <c r="I492" i="8"/>
  <c r="H492" i="8"/>
  <c r="M491" i="8"/>
  <c r="L491" i="8"/>
  <c r="K491" i="8"/>
  <c r="I491" i="8"/>
  <c r="H491" i="8"/>
  <c r="M490" i="8"/>
  <c r="L490" i="8"/>
  <c r="K490" i="8"/>
  <c r="I490" i="8"/>
  <c r="H490" i="8"/>
  <c r="M489" i="8"/>
  <c r="L489" i="8"/>
  <c r="K489" i="8"/>
  <c r="I489" i="8"/>
  <c r="H489" i="8"/>
  <c r="M488" i="8"/>
  <c r="L488" i="8"/>
  <c r="K488" i="8"/>
  <c r="I488" i="8"/>
  <c r="H488" i="8"/>
  <c r="M487" i="8"/>
  <c r="L487" i="8"/>
  <c r="K487" i="8"/>
  <c r="I487" i="8"/>
  <c r="H487" i="8"/>
  <c r="M486" i="8"/>
  <c r="L486" i="8"/>
  <c r="K486" i="8"/>
  <c r="I486" i="8"/>
  <c r="H486" i="8"/>
  <c r="M485" i="8"/>
  <c r="L485" i="8"/>
  <c r="K485" i="8"/>
  <c r="I485" i="8"/>
  <c r="H485" i="8"/>
  <c r="M484" i="8"/>
  <c r="L484" i="8"/>
  <c r="K484" i="8"/>
  <c r="I484" i="8"/>
  <c r="H484" i="8"/>
  <c r="M483" i="8"/>
  <c r="L483" i="8"/>
  <c r="K483" i="8"/>
  <c r="I483" i="8"/>
  <c r="H483" i="8"/>
  <c r="M482" i="8"/>
  <c r="L482" i="8"/>
  <c r="K482" i="8"/>
  <c r="I482" i="8"/>
  <c r="H482" i="8"/>
  <c r="M481" i="8"/>
  <c r="L481" i="8"/>
  <c r="K481" i="8"/>
  <c r="I481" i="8"/>
  <c r="H481" i="8"/>
  <c r="M480" i="8"/>
  <c r="L480" i="8"/>
  <c r="K480" i="8"/>
  <c r="I480" i="8"/>
  <c r="H480" i="8"/>
  <c r="M479" i="8"/>
  <c r="L479" i="8"/>
  <c r="K479" i="8"/>
  <c r="I479" i="8"/>
  <c r="H479" i="8"/>
  <c r="M478" i="8"/>
  <c r="L478" i="8"/>
  <c r="K478" i="8"/>
  <c r="I478" i="8"/>
  <c r="H478" i="8"/>
  <c r="M477" i="8"/>
  <c r="L477" i="8"/>
  <c r="K477" i="8"/>
  <c r="I477" i="8"/>
  <c r="H477" i="8"/>
  <c r="M476" i="8"/>
  <c r="L476" i="8"/>
  <c r="K476" i="8"/>
  <c r="I476" i="8"/>
  <c r="H476" i="8"/>
  <c r="M475" i="8"/>
  <c r="L475" i="8"/>
  <c r="K475" i="8"/>
  <c r="I475" i="8"/>
  <c r="H475" i="8"/>
  <c r="M474" i="8"/>
  <c r="L474" i="8"/>
  <c r="K474" i="8"/>
  <c r="I474" i="8"/>
  <c r="H474" i="8"/>
  <c r="M473" i="8"/>
  <c r="L473" i="8"/>
  <c r="K473" i="8"/>
  <c r="I473" i="8"/>
  <c r="H473" i="8"/>
  <c r="M472" i="8"/>
  <c r="L472" i="8"/>
  <c r="K472" i="8"/>
  <c r="I472" i="8"/>
  <c r="H472" i="8"/>
  <c r="M471" i="8"/>
  <c r="L471" i="8"/>
  <c r="K471" i="8"/>
  <c r="I471" i="8"/>
  <c r="H471" i="8"/>
  <c r="M470" i="8"/>
  <c r="L470" i="8"/>
  <c r="K470" i="8"/>
  <c r="I470" i="8"/>
  <c r="H470" i="8"/>
  <c r="M469" i="8"/>
  <c r="L469" i="8"/>
  <c r="K469" i="8"/>
  <c r="I469" i="8"/>
  <c r="H469" i="8"/>
  <c r="M468" i="8"/>
  <c r="L468" i="8"/>
  <c r="K468" i="8"/>
  <c r="I468" i="8"/>
  <c r="H468" i="8"/>
  <c r="M467" i="8"/>
  <c r="L467" i="8"/>
  <c r="K467" i="8"/>
  <c r="I467" i="8"/>
  <c r="H467" i="8"/>
  <c r="M466" i="8"/>
  <c r="L466" i="8"/>
  <c r="K466" i="8"/>
  <c r="I466" i="8"/>
  <c r="H466" i="8"/>
  <c r="M465" i="8"/>
  <c r="L465" i="8"/>
  <c r="K465" i="8"/>
  <c r="I465" i="8"/>
  <c r="H465" i="8"/>
  <c r="M464" i="8"/>
  <c r="L464" i="8"/>
  <c r="K464" i="8"/>
  <c r="I464" i="8"/>
  <c r="H464" i="8"/>
  <c r="M463" i="8"/>
  <c r="L463" i="8"/>
  <c r="K463" i="8"/>
  <c r="I463" i="8"/>
  <c r="H463" i="8"/>
  <c r="M462" i="8"/>
  <c r="L462" i="8"/>
  <c r="K462" i="8"/>
  <c r="I462" i="8"/>
  <c r="H462" i="8"/>
  <c r="M461" i="8"/>
  <c r="L461" i="8"/>
  <c r="K461" i="8"/>
  <c r="I461" i="8"/>
  <c r="H461" i="8"/>
  <c r="M460" i="8"/>
  <c r="L460" i="8"/>
  <c r="K460" i="8"/>
  <c r="I460" i="8"/>
  <c r="H460" i="8"/>
  <c r="M459" i="8"/>
  <c r="L459" i="8"/>
  <c r="K459" i="8"/>
  <c r="I459" i="8"/>
  <c r="H459" i="8"/>
  <c r="M458" i="8"/>
  <c r="L458" i="8"/>
  <c r="K458" i="8"/>
  <c r="I458" i="8"/>
  <c r="H458" i="8"/>
  <c r="M457" i="8"/>
  <c r="L457" i="8"/>
  <c r="K457" i="8"/>
  <c r="I457" i="8"/>
  <c r="H457" i="8"/>
  <c r="M456" i="8"/>
  <c r="L456" i="8"/>
  <c r="K456" i="8"/>
  <c r="I456" i="8"/>
  <c r="H456" i="8"/>
  <c r="M455" i="8"/>
  <c r="L455" i="8"/>
  <c r="K455" i="8"/>
  <c r="I455" i="8"/>
  <c r="H455" i="8"/>
  <c r="M454" i="8"/>
  <c r="L454" i="8"/>
  <c r="K454" i="8"/>
  <c r="I454" i="8"/>
  <c r="H454" i="8"/>
  <c r="M453" i="8"/>
  <c r="L453" i="8"/>
  <c r="K453" i="8"/>
  <c r="I453" i="8"/>
  <c r="H453" i="8"/>
  <c r="M452" i="8"/>
  <c r="L452" i="8"/>
  <c r="K452" i="8"/>
  <c r="I452" i="8"/>
  <c r="H452" i="8"/>
  <c r="M451" i="8"/>
  <c r="L451" i="8"/>
  <c r="K451" i="8"/>
  <c r="I451" i="8"/>
  <c r="H451" i="8"/>
  <c r="M450" i="8"/>
  <c r="L450" i="8"/>
  <c r="K450" i="8"/>
  <c r="I450" i="8"/>
  <c r="H450" i="8"/>
  <c r="M449" i="8"/>
  <c r="L449" i="8"/>
  <c r="K449" i="8"/>
  <c r="I449" i="8"/>
  <c r="H449" i="8"/>
  <c r="M448" i="8"/>
  <c r="L448" i="8"/>
  <c r="K448" i="8"/>
  <c r="I448" i="8"/>
  <c r="H448" i="8"/>
  <c r="M447" i="8"/>
  <c r="L447" i="8"/>
  <c r="K447" i="8"/>
  <c r="I447" i="8"/>
  <c r="H447" i="8"/>
  <c r="M446" i="8"/>
  <c r="L446" i="8"/>
  <c r="K446" i="8"/>
  <c r="I446" i="8"/>
  <c r="H446" i="8"/>
  <c r="M445" i="8"/>
  <c r="L445" i="8"/>
  <c r="K445" i="8"/>
  <c r="I445" i="8"/>
  <c r="H445" i="8"/>
  <c r="M444" i="8"/>
  <c r="L444" i="8"/>
  <c r="K444" i="8"/>
  <c r="I444" i="8"/>
  <c r="H444" i="8"/>
  <c r="M443" i="8"/>
  <c r="L443" i="8"/>
  <c r="K443" i="8"/>
  <c r="I443" i="8"/>
  <c r="H443" i="8"/>
  <c r="M442" i="8"/>
  <c r="L442" i="8"/>
  <c r="K442" i="8"/>
  <c r="I442" i="8"/>
  <c r="H442" i="8"/>
  <c r="M441" i="8"/>
  <c r="L441" i="8"/>
  <c r="K441" i="8"/>
  <c r="I441" i="8"/>
  <c r="H441" i="8"/>
  <c r="M440" i="8"/>
  <c r="L440" i="8"/>
  <c r="K440" i="8"/>
  <c r="I440" i="8"/>
  <c r="H440" i="8"/>
  <c r="M439" i="8"/>
  <c r="L439" i="8"/>
  <c r="K439" i="8"/>
  <c r="I439" i="8"/>
  <c r="H439" i="8"/>
  <c r="M438" i="8"/>
  <c r="L438" i="8"/>
  <c r="K438" i="8"/>
  <c r="I438" i="8"/>
  <c r="H438" i="8"/>
  <c r="M437" i="8"/>
  <c r="L437" i="8"/>
  <c r="K437" i="8"/>
  <c r="I437" i="8"/>
  <c r="H437" i="8"/>
  <c r="M436" i="8"/>
  <c r="L436" i="8"/>
  <c r="K436" i="8"/>
  <c r="I436" i="8"/>
  <c r="H436" i="8"/>
  <c r="M435" i="8"/>
  <c r="L435" i="8"/>
  <c r="K435" i="8"/>
  <c r="I435" i="8"/>
  <c r="H435" i="8"/>
  <c r="M434" i="8"/>
  <c r="L434" i="8"/>
  <c r="K434" i="8"/>
  <c r="I434" i="8"/>
  <c r="H434" i="8"/>
  <c r="M433" i="8"/>
  <c r="L433" i="8"/>
  <c r="K433" i="8"/>
  <c r="I433" i="8"/>
  <c r="H433" i="8"/>
  <c r="M432" i="8"/>
  <c r="L432" i="8"/>
  <c r="K432" i="8"/>
  <c r="I432" i="8"/>
  <c r="H432" i="8"/>
  <c r="M431" i="8"/>
  <c r="L431" i="8"/>
  <c r="K431" i="8"/>
  <c r="I431" i="8"/>
  <c r="H431" i="8"/>
  <c r="M430" i="8"/>
  <c r="L430" i="8"/>
  <c r="K430" i="8"/>
  <c r="I430" i="8"/>
  <c r="H430" i="8"/>
  <c r="M429" i="8"/>
  <c r="L429" i="8"/>
  <c r="K429" i="8"/>
  <c r="I429" i="8"/>
  <c r="H429" i="8"/>
  <c r="M428" i="8"/>
  <c r="L428" i="8"/>
  <c r="K428" i="8"/>
  <c r="I428" i="8"/>
  <c r="H428" i="8"/>
  <c r="M427" i="8"/>
  <c r="L427" i="8"/>
  <c r="K427" i="8"/>
  <c r="I427" i="8"/>
  <c r="H427" i="8"/>
  <c r="M426" i="8"/>
  <c r="L426" i="8"/>
  <c r="K426" i="8"/>
  <c r="I426" i="8"/>
  <c r="H426" i="8"/>
  <c r="M425" i="8"/>
  <c r="L425" i="8"/>
  <c r="K425" i="8"/>
  <c r="I425" i="8"/>
  <c r="H425" i="8"/>
  <c r="M424" i="8"/>
  <c r="L424" i="8"/>
  <c r="K424" i="8"/>
  <c r="I424" i="8"/>
  <c r="H424" i="8"/>
  <c r="M423" i="8"/>
  <c r="L423" i="8"/>
  <c r="K423" i="8"/>
  <c r="I423" i="8"/>
  <c r="H423" i="8"/>
  <c r="M422" i="8"/>
  <c r="L422" i="8"/>
  <c r="K422" i="8"/>
  <c r="I422" i="8"/>
  <c r="H422" i="8"/>
  <c r="M421" i="8"/>
  <c r="L421" i="8"/>
  <c r="K421" i="8"/>
  <c r="I421" i="8"/>
  <c r="H421" i="8"/>
  <c r="M420" i="8"/>
  <c r="L420" i="8"/>
  <c r="K420" i="8"/>
  <c r="I420" i="8"/>
  <c r="H420" i="8"/>
  <c r="M419" i="8"/>
  <c r="L419" i="8"/>
  <c r="K419" i="8"/>
  <c r="I419" i="8"/>
  <c r="H419" i="8"/>
  <c r="M418" i="8"/>
  <c r="L418" i="8"/>
  <c r="K418" i="8"/>
  <c r="I418" i="8"/>
  <c r="H418" i="8"/>
  <c r="M417" i="8"/>
  <c r="L417" i="8"/>
  <c r="K417" i="8"/>
  <c r="I417" i="8"/>
  <c r="H417" i="8"/>
  <c r="M416" i="8"/>
  <c r="L416" i="8"/>
  <c r="K416" i="8"/>
  <c r="I416" i="8"/>
  <c r="H416" i="8"/>
  <c r="M415" i="8"/>
  <c r="L415" i="8"/>
  <c r="K415" i="8"/>
  <c r="I415" i="8"/>
  <c r="H415" i="8"/>
  <c r="M414" i="8"/>
  <c r="L414" i="8"/>
  <c r="K414" i="8"/>
  <c r="I414" i="8"/>
  <c r="H414" i="8"/>
  <c r="M413" i="8"/>
  <c r="L413" i="8"/>
  <c r="K413" i="8"/>
  <c r="I413" i="8"/>
  <c r="H413" i="8"/>
  <c r="M412" i="8"/>
  <c r="L412" i="8"/>
  <c r="K412" i="8"/>
  <c r="I412" i="8"/>
  <c r="H412" i="8"/>
  <c r="M411" i="8"/>
  <c r="L411" i="8"/>
  <c r="K411" i="8"/>
  <c r="I411" i="8"/>
  <c r="H411" i="8"/>
  <c r="M410" i="8"/>
  <c r="L410" i="8"/>
  <c r="K410" i="8"/>
  <c r="I410" i="8"/>
  <c r="H410" i="8"/>
  <c r="M409" i="8"/>
  <c r="L409" i="8"/>
  <c r="K409" i="8"/>
  <c r="I409" i="8"/>
  <c r="H409" i="8"/>
  <c r="M408" i="8"/>
  <c r="L408" i="8"/>
  <c r="K408" i="8"/>
  <c r="I408" i="8"/>
  <c r="H408" i="8"/>
  <c r="M407" i="8"/>
  <c r="L407" i="8"/>
  <c r="K407" i="8"/>
  <c r="I407" i="8"/>
  <c r="H407" i="8"/>
  <c r="M406" i="8"/>
  <c r="L406" i="8"/>
  <c r="K406" i="8"/>
  <c r="I406" i="8"/>
  <c r="H406" i="8"/>
  <c r="M405" i="8"/>
  <c r="L405" i="8"/>
  <c r="K405" i="8"/>
  <c r="I405" i="8"/>
  <c r="H405" i="8"/>
  <c r="M404" i="8"/>
  <c r="L404" i="8"/>
  <c r="K404" i="8"/>
  <c r="I404" i="8"/>
  <c r="H404" i="8"/>
  <c r="M403" i="8"/>
  <c r="L403" i="8"/>
  <c r="K403" i="8"/>
  <c r="I403" i="8"/>
  <c r="H403" i="8"/>
  <c r="M402" i="8"/>
  <c r="L402" i="8"/>
  <c r="K402" i="8"/>
  <c r="I402" i="8"/>
  <c r="H402" i="8"/>
  <c r="M401" i="8"/>
  <c r="L401" i="8"/>
  <c r="K401" i="8"/>
  <c r="I401" i="8"/>
  <c r="H401" i="8"/>
  <c r="M400" i="8"/>
  <c r="L400" i="8"/>
  <c r="K400" i="8"/>
  <c r="I400" i="8"/>
  <c r="H400" i="8"/>
  <c r="M399" i="8"/>
  <c r="L399" i="8"/>
  <c r="K399" i="8"/>
  <c r="I399" i="8"/>
  <c r="H399" i="8"/>
  <c r="M398" i="8"/>
  <c r="L398" i="8"/>
  <c r="K398" i="8"/>
  <c r="I398" i="8"/>
  <c r="H398" i="8"/>
  <c r="M397" i="8"/>
  <c r="L397" i="8"/>
  <c r="K397" i="8"/>
  <c r="I397" i="8"/>
  <c r="H397" i="8"/>
  <c r="M396" i="8"/>
  <c r="L396" i="8"/>
  <c r="K396" i="8"/>
  <c r="I396" i="8"/>
  <c r="H396" i="8"/>
  <c r="M395" i="8"/>
  <c r="L395" i="8"/>
  <c r="K395" i="8"/>
  <c r="I395" i="8"/>
  <c r="H395" i="8"/>
  <c r="M394" i="8"/>
  <c r="L394" i="8"/>
  <c r="K394" i="8"/>
  <c r="I394" i="8"/>
  <c r="H394" i="8"/>
  <c r="M393" i="8"/>
  <c r="L393" i="8"/>
  <c r="K393" i="8"/>
  <c r="I393" i="8"/>
  <c r="H393" i="8"/>
  <c r="M392" i="8"/>
  <c r="L392" i="8"/>
  <c r="K392" i="8"/>
  <c r="I392" i="8"/>
  <c r="H392" i="8"/>
  <c r="M391" i="8"/>
  <c r="L391" i="8"/>
  <c r="K391" i="8"/>
  <c r="I391" i="8"/>
  <c r="H391" i="8"/>
  <c r="M390" i="8"/>
  <c r="L390" i="8"/>
  <c r="K390" i="8"/>
  <c r="I390" i="8"/>
  <c r="H390" i="8"/>
  <c r="M389" i="8"/>
  <c r="L389" i="8"/>
  <c r="K389" i="8"/>
  <c r="I389" i="8"/>
  <c r="H389" i="8"/>
  <c r="M388" i="8"/>
  <c r="L388" i="8"/>
  <c r="K388" i="8"/>
  <c r="I388" i="8"/>
  <c r="H388" i="8"/>
  <c r="M387" i="8"/>
  <c r="L387" i="8"/>
  <c r="K387" i="8"/>
  <c r="I387" i="8"/>
  <c r="H387" i="8"/>
  <c r="M386" i="8"/>
  <c r="L386" i="8"/>
  <c r="K386" i="8"/>
  <c r="I386" i="8"/>
  <c r="H386" i="8"/>
  <c r="M385" i="8"/>
  <c r="L385" i="8"/>
  <c r="K385" i="8"/>
  <c r="I385" i="8"/>
  <c r="H385" i="8"/>
  <c r="M384" i="8"/>
  <c r="L384" i="8"/>
  <c r="K384" i="8"/>
  <c r="I384" i="8"/>
  <c r="H384" i="8"/>
  <c r="M383" i="8"/>
  <c r="L383" i="8"/>
  <c r="K383" i="8"/>
  <c r="I383" i="8"/>
  <c r="H383" i="8"/>
  <c r="M382" i="8"/>
  <c r="L382" i="8"/>
  <c r="K382" i="8"/>
  <c r="I382" i="8"/>
  <c r="H382" i="8"/>
  <c r="M381" i="8"/>
  <c r="L381" i="8"/>
  <c r="K381" i="8"/>
  <c r="I381" i="8"/>
  <c r="H381" i="8"/>
  <c r="M380" i="8"/>
  <c r="L380" i="8"/>
  <c r="K380" i="8"/>
  <c r="I380" i="8"/>
  <c r="H380" i="8"/>
  <c r="M379" i="8"/>
  <c r="L379" i="8"/>
  <c r="K379" i="8"/>
  <c r="I379" i="8"/>
  <c r="H379" i="8"/>
  <c r="M378" i="8"/>
  <c r="L378" i="8"/>
  <c r="K378" i="8"/>
  <c r="I378" i="8"/>
  <c r="H378" i="8"/>
  <c r="M377" i="8"/>
  <c r="L377" i="8"/>
  <c r="K377" i="8"/>
  <c r="I377" i="8"/>
  <c r="H377" i="8"/>
  <c r="M376" i="8"/>
  <c r="L376" i="8"/>
  <c r="K376" i="8"/>
  <c r="I376" i="8"/>
  <c r="H376" i="8"/>
  <c r="M375" i="8"/>
  <c r="L375" i="8"/>
  <c r="K375" i="8"/>
  <c r="I375" i="8"/>
  <c r="H375" i="8"/>
  <c r="M374" i="8"/>
  <c r="L374" i="8"/>
  <c r="K374" i="8"/>
  <c r="I374" i="8"/>
  <c r="H374" i="8"/>
  <c r="M373" i="8"/>
  <c r="L373" i="8"/>
  <c r="K373" i="8"/>
  <c r="I373" i="8"/>
  <c r="H373" i="8"/>
  <c r="M372" i="8"/>
  <c r="L372" i="8"/>
  <c r="K372" i="8"/>
  <c r="I372" i="8"/>
  <c r="H372" i="8"/>
  <c r="M371" i="8"/>
  <c r="L371" i="8"/>
  <c r="K371" i="8"/>
  <c r="I371" i="8"/>
  <c r="H371" i="8"/>
  <c r="M370" i="8"/>
  <c r="L370" i="8"/>
  <c r="K370" i="8"/>
  <c r="I370" i="8"/>
  <c r="H370" i="8"/>
  <c r="M369" i="8"/>
  <c r="L369" i="8"/>
  <c r="K369" i="8"/>
  <c r="I369" i="8"/>
  <c r="H369" i="8"/>
  <c r="M368" i="8"/>
  <c r="L368" i="8"/>
  <c r="K368" i="8"/>
  <c r="I368" i="8"/>
  <c r="H368" i="8"/>
  <c r="M367" i="8"/>
  <c r="L367" i="8"/>
  <c r="K367" i="8"/>
  <c r="I367" i="8"/>
  <c r="H367" i="8"/>
  <c r="M366" i="8"/>
  <c r="L366" i="8"/>
  <c r="K366" i="8"/>
  <c r="I366" i="8"/>
  <c r="H366" i="8"/>
  <c r="M365" i="8"/>
  <c r="L365" i="8"/>
  <c r="K365" i="8"/>
  <c r="I365" i="8"/>
  <c r="H365" i="8"/>
  <c r="M364" i="8"/>
  <c r="L364" i="8"/>
  <c r="K364" i="8"/>
  <c r="I364" i="8"/>
  <c r="H364" i="8"/>
  <c r="M363" i="8"/>
  <c r="L363" i="8"/>
  <c r="K363" i="8"/>
  <c r="I363" i="8"/>
  <c r="H363" i="8"/>
  <c r="M362" i="8"/>
  <c r="L362" i="8"/>
  <c r="K362" i="8"/>
  <c r="I362" i="8"/>
  <c r="H362" i="8"/>
  <c r="M361" i="8"/>
  <c r="L361" i="8"/>
  <c r="K361" i="8"/>
  <c r="I361" i="8"/>
  <c r="H361" i="8"/>
  <c r="M360" i="8"/>
  <c r="L360" i="8"/>
  <c r="K360" i="8"/>
  <c r="I360" i="8"/>
  <c r="H360" i="8"/>
  <c r="M359" i="8"/>
  <c r="L359" i="8"/>
  <c r="K359" i="8"/>
  <c r="I359" i="8"/>
  <c r="H359" i="8"/>
  <c r="M358" i="8"/>
  <c r="L358" i="8"/>
  <c r="K358" i="8"/>
  <c r="I358" i="8"/>
  <c r="H358" i="8"/>
  <c r="M357" i="8"/>
  <c r="L357" i="8"/>
  <c r="K357" i="8"/>
  <c r="I357" i="8"/>
  <c r="H357" i="8"/>
  <c r="M356" i="8"/>
  <c r="L356" i="8"/>
  <c r="K356" i="8"/>
  <c r="I356" i="8"/>
  <c r="H356" i="8"/>
  <c r="M355" i="8"/>
  <c r="L355" i="8"/>
  <c r="K355" i="8"/>
  <c r="I355" i="8"/>
  <c r="H355" i="8"/>
  <c r="M354" i="8"/>
  <c r="L354" i="8"/>
  <c r="K354" i="8"/>
  <c r="I354" i="8"/>
  <c r="H354" i="8"/>
  <c r="M353" i="8"/>
  <c r="L353" i="8"/>
  <c r="K353" i="8"/>
  <c r="I353" i="8"/>
  <c r="H353" i="8"/>
  <c r="M352" i="8"/>
  <c r="L352" i="8"/>
  <c r="K352" i="8"/>
  <c r="I352" i="8"/>
  <c r="H352" i="8"/>
  <c r="M351" i="8"/>
  <c r="L351" i="8"/>
  <c r="K351" i="8"/>
  <c r="I351" i="8"/>
  <c r="H351" i="8"/>
  <c r="M350" i="8"/>
  <c r="L350" i="8"/>
  <c r="K350" i="8"/>
  <c r="I350" i="8"/>
  <c r="H350" i="8"/>
  <c r="M349" i="8"/>
  <c r="L349" i="8"/>
  <c r="K349" i="8"/>
  <c r="I349" i="8"/>
  <c r="H349" i="8"/>
  <c r="M348" i="8"/>
  <c r="L348" i="8"/>
  <c r="K348" i="8"/>
  <c r="I348" i="8"/>
  <c r="H348" i="8"/>
  <c r="M347" i="8"/>
  <c r="L347" i="8"/>
  <c r="K347" i="8"/>
  <c r="I347" i="8"/>
  <c r="H347" i="8"/>
  <c r="M346" i="8"/>
  <c r="L346" i="8"/>
  <c r="K346" i="8"/>
  <c r="I346" i="8"/>
  <c r="H346" i="8"/>
  <c r="M345" i="8"/>
  <c r="L345" i="8"/>
  <c r="K345" i="8"/>
  <c r="I345" i="8"/>
  <c r="H345" i="8"/>
  <c r="M344" i="8"/>
  <c r="L344" i="8"/>
  <c r="K344" i="8"/>
  <c r="I344" i="8"/>
  <c r="H344" i="8"/>
  <c r="M343" i="8"/>
  <c r="L343" i="8"/>
  <c r="K343" i="8"/>
  <c r="I343" i="8"/>
  <c r="H343" i="8"/>
  <c r="M342" i="8"/>
  <c r="L342" i="8"/>
  <c r="K342" i="8"/>
  <c r="I342" i="8"/>
  <c r="H342" i="8"/>
  <c r="M341" i="8"/>
  <c r="L341" i="8"/>
  <c r="K341" i="8"/>
  <c r="I341" i="8"/>
  <c r="H341" i="8"/>
  <c r="M340" i="8"/>
  <c r="L340" i="8"/>
  <c r="K340" i="8"/>
  <c r="I340" i="8"/>
  <c r="H340" i="8"/>
  <c r="M339" i="8"/>
  <c r="L339" i="8"/>
  <c r="K339" i="8"/>
  <c r="I339" i="8"/>
  <c r="H339" i="8"/>
  <c r="M338" i="8"/>
  <c r="L338" i="8"/>
  <c r="K338" i="8"/>
  <c r="I338" i="8"/>
  <c r="H338" i="8"/>
  <c r="M337" i="8"/>
  <c r="L337" i="8"/>
  <c r="K337" i="8"/>
  <c r="I337" i="8"/>
  <c r="H337" i="8"/>
  <c r="M336" i="8"/>
  <c r="L336" i="8"/>
  <c r="K336" i="8"/>
  <c r="I336" i="8"/>
  <c r="H336" i="8"/>
  <c r="M335" i="8"/>
  <c r="L335" i="8"/>
  <c r="K335" i="8"/>
  <c r="I335" i="8"/>
  <c r="H335" i="8"/>
  <c r="M334" i="8"/>
  <c r="L334" i="8"/>
  <c r="K334" i="8"/>
  <c r="I334" i="8"/>
  <c r="H334" i="8"/>
  <c r="M333" i="8"/>
  <c r="L333" i="8"/>
  <c r="K333" i="8"/>
  <c r="I333" i="8"/>
  <c r="H333" i="8"/>
  <c r="M332" i="8"/>
  <c r="L332" i="8"/>
  <c r="K332" i="8"/>
  <c r="I332" i="8"/>
  <c r="H332" i="8"/>
  <c r="M331" i="8"/>
  <c r="L331" i="8"/>
  <c r="K331" i="8"/>
  <c r="I331" i="8"/>
  <c r="H331" i="8"/>
  <c r="M330" i="8"/>
  <c r="L330" i="8"/>
  <c r="K330" i="8"/>
  <c r="I330" i="8"/>
  <c r="H330" i="8"/>
  <c r="M329" i="8"/>
  <c r="L329" i="8"/>
  <c r="K329" i="8"/>
  <c r="I329" i="8"/>
  <c r="H329" i="8"/>
  <c r="M328" i="8"/>
  <c r="L328" i="8"/>
  <c r="K328" i="8"/>
  <c r="I328" i="8"/>
  <c r="H328" i="8"/>
  <c r="M327" i="8"/>
  <c r="L327" i="8"/>
  <c r="K327" i="8"/>
  <c r="I327" i="8"/>
  <c r="H327" i="8"/>
  <c r="M326" i="8"/>
  <c r="L326" i="8"/>
  <c r="K326" i="8"/>
  <c r="I326" i="8"/>
  <c r="H326" i="8"/>
  <c r="M325" i="8"/>
  <c r="L325" i="8"/>
  <c r="K325" i="8"/>
  <c r="I325" i="8"/>
  <c r="H325" i="8"/>
  <c r="M324" i="8"/>
  <c r="L324" i="8"/>
  <c r="K324" i="8"/>
  <c r="I324" i="8"/>
  <c r="H324" i="8"/>
  <c r="M323" i="8"/>
  <c r="L323" i="8"/>
  <c r="K323" i="8"/>
  <c r="I323" i="8"/>
  <c r="H323" i="8"/>
  <c r="M322" i="8"/>
  <c r="L322" i="8"/>
  <c r="K322" i="8"/>
  <c r="I322" i="8"/>
  <c r="H322" i="8"/>
  <c r="M321" i="8"/>
  <c r="L321" i="8"/>
  <c r="K321" i="8"/>
  <c r="I321" i="8"/>
  <c r="H321" i="8"/>
  <c r="M320" i="8"/>
  <c r="L320" i="8"/>
  <c r="K320" i="8"/>
  <c r="I320" i="8"/>
  <c r="H320" i="8"/>
  <c r="M319" i="8"/>
  <c r="L319" i="8"/>
  <c r="K319" i="8"/>
  <c r="I319" i="8"/>
  <c r="H319" i="8"/>
  <c r="M318" i="8"/>
  <c r="L318" i="8"/>
  <c r="K318" i="8"/>
  <c r="I318" i="8"/>
  <c r="H318" i="8"/>
  <c r="M317" i="8"/>
  <c r="L317" i="8"/>
  <c r="K317" i="8"/>
  <c r="I317" i="8"/>
  <c r="H317" i="8"/>
  <c r="M316" i="8"/>
  <c r="L316" i="8"/>
  <c r="K316" i="8"/>
  <c r="I316" i="8"/>
  <c r="H316" i="8"/>
  <c r="M315" i="8"/>
  <c r="L315" i="8"/>
  <c r="K315" i="8"/>
  <c r="I315" i="8"/>
  <c r="H315" i="8"/>
  <c r="M314" i="8"/>
  <c r="L314" i="8"/>
  <c r="K314" i="8"/>
  <c r="I314" i="8"/>
  <c r="H314" i="8"/>
  <c r="M313" i="8"/>
  <c r="L313" i="8"/>
  <c r="K313" i="8"/>
  <c r="I313" i="8"/>
  <c r="H313" i="8"/>
  <c r="M312" i="8"/>
  <c r="L312" i="8"/>
  <c r="K312" i="8"/>
  <c r="I312" i="8"/>
  <c r="H312" i="8"/>
  <c r="M311" i="8"/>
  <c r="L311" i="8"/>
  <c r="K311" i="8"/>
  <c r="I311" i="8"/>
  <c r="H311" i="8"/>
  <c r="M310" i="8"/>
  <c r="L310" i="8"/>
  <c r="K310" i="8"/>
  <c r="I310" i="8"/>
  <c r="H310" i="8"/>
  <c r="M309" i="8"/>
  <c r="L309" i="8"/>
  <c r="K309" i="8"/>
  <c r="I309" i="8"/>
  <c r="H309" i="8"/>
  <c r="M308" i="8"/>
  <c r="L308" i="8"/>
  <c r="K308" i="8"/>
  <c r="I308" i="8"/>
  <c r="H308" i="8"/>
  <c r="M307" i="8"/>
  <c r="L307" i="8"/>
  <c r="K307" i="8"/>
  <c r="I307" i="8"/>
  <c r="H307" i="8"/>
  <c r="M306" i="8"/>
  <c r="L306" i="8"/>
  <c r="K306" i="8"/>
  <c r="I306" i="8"/>
  <c r="H306" i="8"/>
  <c r="M305" i="8"/>
  <c r="L305" i="8"/>
  <c r="K305" i="8"/>
  <c r="I305" i="8"/>
  <c r="H305" i="8"/>
  <c r="M304" i="8"/>
  <c r="L304" i="8"/>
  <c r="K304" i="8"/>
  <c r="I304" i="8"/>
  <c r="H304" i="8"/>
  <c r="M303" i="8"/>
  <c r="L303" i="8"/>
  <c r="K303" i="8"/>
  <c r="I303" i="8"/>
  <c r="H303" i="8"/>
  <c r="M302" i="8"/>
  <c r="L302" i="8"/>
  <c r="K302" i="8"/>
  <c r="I302" i="8"/>
  <c r="H302" i="8"/>
  <c r="M301" i="8"/>
  <c r="L301" i="8"/>
  <c r="K301" i="8"/>
  <c r="I301" i="8"/>
  <c r="H301" i="8"/>
  <c r="M300" i="8"/>
  <c r="L300" i="8"/>
  <c r="K300" i="8"/>
  <c r="I300" i="8"/>
  <c r="H300" i="8"/>
  <c r="M299" i="8"/>
  <c r="L299" i="8"/>
  <c r="K299" i="8"/>
  <c r="I299" i="8"/>
  <c r="H299" i="8"/>
  <c r="M298" i="8"/>
  <c r="L298" i="8"/>
  <c r="K298" i="8"/>
  <c r="I298" i="8"/>
  <c r="H298" i="8"/>
  <c r="M297" i="8"/>
  <c r="L297" i="8"/>
  <c r="K297" i="8"/>
  <c r="I297" i="8"/>
  <c r="H297" i="8"/>
  <c r="M296" i="8"/>
  <c r="L296" i="8"/>
  <c r="K296" i="8"/>
  <c r="I296" i="8"/>
  <c r="H296" i="8"/>
  <c r="M295" i="8"/>
  <c r="L295" i="8"/>
  <c r="K295" i="8"/>
  <c r="I295" i="8"/>
  <c r="H295" i="8"/>
  <c r="M294" i="8"/>
  <c r="L294" i="8"/>
  <c r="K294" i="8"/>
  <c r="I294" i="8"/>
  <c r="H294" i="8"/>
  <c r="M293" i="8"/>
  <c r="L293" i="8"/>
  <c r="K293" i="8"/>
  <c r="I293" i="8"/>
  <c r="H293" i="8"/>
  <c r="M292" i="8"/>
  <c r="L292" i="8"/>
  <c r="K292" i="8"/>
  <c r="I292" i="8"/>
  <c r="H292" i="8"/>
  <c r="M291" i="8"/>
  <c r="L291" i="8"/>
  <c r="K291" i="8"/>
  <c r="I291" i="8"/>
  <c r="H291" i="8"/>
  <c r="M290" i="8"/>
  <c r="L290" i="8"/>
  <c r="K290" i="8"/>
  <c r="I290" i="8"/>
  <c r="H290" i="8"/>
  <c r="M289" i="8"/>
  <c r="L289" i="8"/>
  <c r="K289" i="8"/>
  <c r="I289" i="8"/>
  <c r="H289" i="8"/>
  <c r="M288" i="8"/>
  <c r="L288" i="8"/>
  <c r="K288" i="8"/>
  <c r="I288" i="8"/>
  <c r="H288" i="8"/>
  <c r="M287" i="8"/>
  <c r="L287" i="8"/>
  <c r="K287" i="8"/>
  <c r="I287" i="8"/>
  <c r="H287" i="8"/>
  <c r="M286" i="8"/>
  <c r="L286" i="8"/>
  <c r="K286" i="8"/>
  <c r="I286" i="8"/>
  <c r="H286" i="8"/>
  <c r="M285" i="8"/>
  <c r="L285" i="8"/>
  <c r="K285" i="8"/>
  <c r="I285" i="8"/>
  <c r="H285" i="8"/>
  <c r="M284" i="8"/>
  <c r="L284" i="8"/>
  <c r="K284" i="8"/>
  <c r="I284" i="8"/>
  <c r="H284" i="8"/>
  <c r="M283" i="8"/>
  <c r="L283" i="8"/>
  <c r="K283" i="8"/>
  <c r="I283" i="8"/>
  <c r="H283" i="8"/>
  <c r="M282" i="8"/>
  <c r="L282" i="8"/>
  <c r="K282" i="8"/>
  <c r="I282" i="8"/>
  <c r="H282" i="8"/>
  <c r="M281" i="8"/>
  <c r="L281" i="8"/>
  <c r="K281" i="8"/>
  <c r="I281" i="8"/>
  <c r="H281" i="8"/>
  <c r="M280" i="8"/>
  <c r="L280" i="8"/>
  <c r="K280" i="8"/>
  <c r="I280" i="8"/>
  <c r="H280" i="8"/>
  <c r="M279" i="8"/>
  <c r="L279" i="8"/>
  <c r="K279" i="8"/>
  <c r="I279" i="8"/>
  <c r="H279" i="8"/>
  <c r="M278" i="8"/>
  <c r="L278" i="8"/>
  <c r="K278" i="8"/>
  <c r="I278" i="8"/>
  <c r="H278" i="8"/>
  <c r="M277" i="8"/>
  <c r="L277" i="8"/>
  <c r="K277" i="8"/>
  <c r="I277" i="8"/>
  <c r="H277" i="8"/>
  <c r="M276" i="8"/>
  <c r="L276" i="8"/>
  <c r="K276" i="8"/>
  <c r="I276" i="8"/>
  <c r="H276" i="8"/>
  <c r="M275" i="8"/>
  <c r="L275" i="8"/>
  <c r="K275" i="8"/>
  <c r="I275" i="8"/>
  <c r="H275" i="8"/>
  <c r="M274" i="8"/>
  <c r="L274" i="8"/>
  <c r="K274" i="8"/>
  <c r="I274" i="8"/>
  <c r="H274" i="8"/>
  <c r="M273" i="8"/>
  <c r="L273" i="8"/>
  <c r="K273" i="8"/>
  <c r="I273" i="8"/>
  <c r="H273" i="8"/>
  <c r="M272" i="8"/>
  <c r="L272" i="8"/>
  <c r="K272" i="8"/>
  <c r="I272" i="8"/>
  <c r="H272" i="8"/>
  <c r="M271" i="8"/>
  <c r="L271" i="8"/>
  <c r="K271" i="8"/>
  <c r="I271" i="8"/>
  <c r="H271" i="8"/>
  <c r="M270" i="8"/>
  <c r="L270" i="8"/>
  <c r="K270" i="8"/>
  <c r="I270" i="8"/>
  <c r="H270" i="8"/>
  <c r="M269" i="8"/>
  <c r="L269" i="8"/>
  <c r="K269" i="8"/>
  <c r="I269" i="8"/>
  <c r="H269" i="8"/>
  <c r="M268" i="8"/>
  <c r="L268" i="8"/>
  <c r="K268" i="8"/>
  <c r="I268" i="8"/>
  <c r="H268" i="8"/>
  <c r="M267" i="8"/>
  <c r="L267" i="8"/>
  <c r="K267" i="8"/>
  <c r="I267" i="8"/>
  <c r="H267" i="8"/>
  <c r="M266" i="8"/>
  <c r="L266" i="8"/>
  <c r="K266" i="8"/>
  <c r="I266" i="8"/>
  <c r="H266" i="8"/>
  <c r="M265" i="8"/>
  <c r="L265" i="8"/>
  <c r="K265" i="8"/>
  <c r="I265" i="8"/>
  <c r="H265" i="8"/>
  <c r="M264" i="8"/>
  <c r="L264" i="8"/>
  <c r="K264" i="8"/>
  <c r="I264" i="8"/>
  <c r="H264" i="8"/>
  <c r="M263" i="8"/>
  <c r="L263" i="8"/>
  <c r="K263" i="8"/>
  <c r="I263" i="8"/>
  <c r="H263" i="8"/>
  <c r="M262" i="8"/>
  <c r="L262" i="8"/>
  <c r="K262" i="8"/>
  <c r="I262" i="8"/>
  <c r="H262" i="8"/>
  <c r="M261" i="8"/>
  <c r="L261" i="8"/>
  <c r="K261" i="8"/>
  <c r="I261" i="8"/>
  <c r="H261" i="8"/>
  <c r="M260" i="8"/>
  <c r="L260" i="8"/>
  <c r="K260" i="8"/>
  <c r="I260" i="8"/>
  <c r="H260" i="8"/>
  <c r="M259" i="8"/>
  <c r="L259" i="8"/>
  <c r="K259" i="8"/>
  <c r="I259" i="8"/>
  <c r="H259" i="8"/>
  <c r="M258" i="8"/>
  <c r="L258" i="8"/>
  <c r="K258" i="8"/>
  <c r="I258" i="8"/>
  <c r="H258" i="8"/>
  <c r="M257" i="8"/>
  <c r="L257" i="8"/>
  <c r="K257" i="8"/>
  <c r="I257" i="8"/>
  <c r="H257" i="8"/>
  <c r="M256" i="8"/>
  <c r="L256" i="8"/>
  <c r="K256" i="8"/>
  <c r="I256" i="8"/>
  <c r="H256" i="8"/>
  <c r="M255" i="8"/>
  <c r="L255" i="8"/>
  <c r="K255" i="8"/>
  <c r="I255" i="8"/>
  <c r="H255" i="8"/>
  <c r="M254" i="8"/>
  <c r="L254" i="8"/>
  <c r="K254" i="8"/>
  <c r="I254" i="8"/>
  <c r="H254" i="8"/>
  <c r="M253" i="8"/>
  <c r="L253" i="8"/>
  <c r="K253" i="8"/>
  <c r="I253" i="8"/>
  <c r="H253" i="8"/>
  <c r="M252" i="8"/>
  <c r="L252" i="8"/>
  <c r="K252" i="8"/>
  <c r="I252" i="8"/>
  <c r="H252" i="8"/>
  <c r="M251" i="8"/>
  <c r="L251" i="8"/>
  <c r="K251" i="8"/>
  <c r="I251" i="8"/>
  <c r="H251" i="8"/>
  <c r="M250" i="8"/>
  <c r="L250" i="8"/>
  <c r="K250" i="8"/>
  <c r="I250" i="8"/>
  <c r="H250" i="8"/>
  <c r="M249" i="8"/>
  <c r="L249" i="8"/>
  <c r="K249" i="8"/>
  <c r="I249" i="8"/>
  <c r="H249" i="8"/>
  <c r="M248" i="8"/>
  <c r="L248" i="8"/>
  <c r="K248" i="8"/>
  <c r="I248" i="8"/>
  <c r="H248" i="8"/>
  <c r="M247" i="8"/>
  <c r="L247" i="8"/>
  <c r="K247" i="8"/>
  <c r="I247" i="8"/>
  <c r="H247" i="8"/>
  <c r="M246" i="8"/>
  <c r="L246" i="8"/>
  <c r="K246" i="8"/>
  <c r="I246" i="8"/>
  <c r="H246" i="8"/>
  <c r="M245" i="8"/>
  <c r="L245" i="8"/>
  <c r="K245" i="8"/>
  <c r="I245" i="8"/>
  <c r="H245" i="8"/>
  <c r="M244" i="8"/>
  <c r="L244" i="8"/>
  <c r="K244" i="8"/>
  <c r="I244" i="8"/>
  <c r="H244" i="8"/>
  <c r="M243" i="8"/>
  <c r="L243" i="8"/>
  <c r="K243" i="8"/>
  <c r="I243" i="8"/>
  <c r="H243" i="8"/>
  <c r="M242" i="8"/>
  <c r="L242" i="8"/>
  <c r="K242" i="8"/>
  <c r="I242" i="8"/>
  <c r="H242" i="8"/>
  <c r="M241" i="8"/>
  <c r="L241" i="8"/>
  <c r="K241" i="8"/>
  <c r="I241" i="8"/>
  <c r="H241" i="8"/>
  <c r="M240" i="8"/>
  <c r="L240" i="8"/>
  <c r="K240" i="8"/>
  <c r="I240" i="8"/>
  <c r="H240" i="8"/>
  <c r="M239" i="8"/>
  <c r="L239" i="8"/>
  <c r="K239" i="8"/>
  <c r="I239" i="8"/>
  <c r="H239" i="8"/>
  <c r="M238" i="8"/>
  <c r="L238" i="8"/>
  <c r="K238" i="8"/>
  <c r="I238" i="8"/>
  <c r="H238" i="8"/>
  <c r="M237" i="8"/>
  <c r="L237" i="8"/>
  <c r="K237" i="8"/>
  <c r="I237" i="8"/>
  <c r="H237" i="8"/>
  <c r="M236" i="8"/>
  <c r="L236" i="8"/>
  <c r="K236" i="8"/>
  <c r="I236" i="8"/>
  <c r="H236" i="8"/>
  <c r="M235" i="8"/>
  <c r="L235" i="8"/>
  <c r="K235" i="8"/>
  <c r="I235" i="8"/>
  <c r="H235" i="8"/>
  <c r="M234" i="8"/>
  <c r="L234" i="8"/>
  <c r="K234" i="8"/>
  <c r="I234" i="8"/>
  <c r="H234" i="8"/>
  <c r="M233" i="8"/>
  <c r="L233" i="8"/>
  <c r="K233" i="8"/>
  <c r="I233" i="8"/>
  <c r="H233" i="8"/>
  <c r="M232" i="8"/>
  <c r="L232" i="8"/>
  <c r="K232" i="8"/>
  <c r="I232" i="8"/>
  <c r="H232" i="8"/>
  <c r="M231" i="8"/>
  <c r="L231" i="8"/>
  <c r="K231" i="8"/>
  <c r="I231" i="8"/>
  <c r="H231" i="8"/>
  <c r="M230" i="8"/>
  <c r="L230" i="8"/>
  <c r="K230" i="8"/>
  <c r="I230" i="8"/>
  <c r="H230" i="8"/>
  <c r="M229" i="8"/>
  <c r="L229" i="8"/>
  <c r="K229" i="8"/>
  <c r="I229" i="8"/>
  <c r="H229" i="8"/>
  <c r="M228" i="8"/>
  <c r="L228" i="8"/>
  <c r="K228" i="8"/>
  <c r="I228" i="8"/>
  <c r="H228" i="8"/>
  <c r="M227" i="8"/>
  <c r="L227" i="8"/>
  <c r="K227" i="8"/>
  <c r="I227" i="8"/>
  <c r="H227" i="8"/>
  <c r="M226" i="8"/>
  <c r="L226" i="8"/>
  <c r="K226" i="8"/>
  <c r="I226" i="8"/>
  <c r="H226" i="8"/>
  <c r="M225" i="8"/>
  <c r="L225" i="8"/>
  <c r="K225" i="8"/>
  <c r="I225" i="8"/>
  <c r="H225" i="8"/>
  <c r="M224" i="8"/>
  <c r="L224" i="8"/>
  <c r="K224" i="8"/>
  <c r="I224" i="8"/>
  <c r="H224" i="8"/>
  <c r="M223" i="8"/>
  <c r="L223" i="8"/>
  <c r="K223" i="8"/>
  <c r="I223" i="8"/>
  <c r="H223" i="8"/>
  <c r="M222" i="8"/>
  <c r="L222" i="8"/>
  <c r="K222" i="8"/>
  <c r="I222" i="8"/>
  <c r="H222" i="8"/>
  <c r="M221" i="8"/>
  <c r="L221" i="8"/>
  <c r="K221" i="8"/>
  <c r="I221" i="8"/>
  <c r="H221" i="8"/>
  <c r="M220" i="8"/>
  <c r="L220" i="8"/>
  <c r="K220" i="8"/>
  <c r="I220" i="8"/>
  <c r="H220" i="8"/>
  <c r="M219" i="8"/>
  <c r="L219" i="8"/>
  <c r="K219" i="8"/>
  <c r="I219" i="8"/>
  <c r="H219" i="8"/>
  <c r="M218" i="8"/>
  <c r="L218" i="8"/>
  <c r="K218" i="8"/>
  <c r="I218" i="8"/>
  <c r="H218" i="8"/>
  <c r="M217" i="8"/>
  <c r="L217" i="8"/>
  <c r="K217" i="8"/>
  <c r="I217" i="8"/>
  <c r="H217" i="8"/>
  <c r="M216" i="8"/>
  <c r="L216" i="8"/>
  <c r="K216" i="8"/>
  <c r="I216" i="8"/>
  <c r="H216" i="8"/>
  <c r="M215" i="8"/>
  <c r="L215" i="8"/>
  <c r="K215" i="8"/>
  <c r="I215" i="8"/>
  <c r="H215" i="8"/>
  <c r="M214" i="8"/>
  <c r="L214" i="8"/>
  <c r="K214" i="8"/>
  <c r="I214" i="8"/>
  <c r="H214" i="8"/>
  <c r="M213" i="8"/>
  <c r="L213" i="8"/>
  <c r="K213" i="8"/>
  <c r="I213" i="8"/>
  <c r="H213" i="8"/>
  <c r="M212" i="8"/>
  <c r="L212" i="8"/>
  <c r="K212" i="8"/>
  <c r="I212" i="8"/>
  <c r="H212" i="8"/>
  <c r="M211" i="8"/>
  <c r="L211" i="8"/>
  <c r="K211" i="8"/>
  <c r="I211" i="8"/>
  <c r="H211" i="8"/>
  <c r="M210" i="8"/>
  <c r="L210" i="8"/>
  <c r="K210" i="8"/>
  <c r="I210" i="8"/>
  <c r="H210" i="8"/>
  <c r="M209" i="8"/>
  <c r="L209" i="8"/>
  <c r="K209" i="8"/>
  <c r="I209" i="8"/>
  <c r="H209" i="8"/>
  <c r="M208" i="8"/>
  <c r="L208" i="8"/>
  <c r="K208" i="8"/>
  <c r="I208" i="8"/>
  <c r="H208" i="8"/>
  <c r="M207" i="8"/>
  <c r="L207" i="8"/>
  <c r="K207" i="8"/>
  <c r="I207" i="8"/>
  <c r="H207" i="8"/>
  <c r="M206" i="8"/>
  <c r="L206" i="8"/>
  <c r="K206" i="8"/>
  <c r="I206" i="8"/>
  <c r="H206" i="8"/>
  <c r="M205" i="8"/>
  <c r="L205" i="8"/>
  <c r="K205" i="8"/>
  <c r="I205" i="8"/>
  <c r="H205" i="8"/>
  <c r="M204" i="8"/>
  <c r="L204" i="8"/>
  <c r="K204" i="8"/>
  <c r="I204" i="8"/>
  <c r="H204" i="8"/>
  <c r="M203" i="8"/>
  <c r="L203" i="8"/>
  <c r="K203" i="8"/>
  <c r="I203" i="8"/>
  <c r="H203" i="8"/>
  <c r="M202" i="8"/>
  <c r="L202" i="8"/>
  <c r="K202" i="8"/>
  <c r="I202" i="8"/>
  <c r="H202" i="8"/>
  <c r="M201" i="8"/>
  <c r="L201" i="8"/>
  <c r="K201" i="8"/>
  <c r="I201" i="8"/>
  <c r="H201" i="8"/>
  <c r="M200" i="8"/>
  <c r="L200" i="8"/>
  <c r="K200" i="8"/>
  <c r="I200" i="8"/>
  <c r="H200" i="8"/>
  <c r="M199" i="8"/>
  <c r="L199" i="8"/>
  <c r="K199" i="8"/>
  <c r="I199" i="8"/>
  <c r="H199" i="8"/>
  <c r="M198" i="8"/>
  <c r="L198" i="8"/>
  <c r="K198" i="8"/>
  <c r="I198" i="8"/>
  <c r="H198" i="8"/>
  <c r="M197" i="8"/>
  <c r="L197" i="8"/>
  <c r="K197" i="8"/>
  <c r="I197" i="8"/>
  <c r="H197" i="8"/>
  <c r="M196" i="8"/>
  <c r="L196" i="8"/>
  <c r="K196" i="8"/>
  <c r="I196" i="8"/>
  <c r="H196" i="8"/>
  <c r="M195" i="8"/>
  <c r="L195" i="8"/>
  <c r="K195" i="8"/>
  <c r="I195" i="8"/>
  <c r="H195" i="8"/>
  <c r="M194" i="8"/>
  <c r="L194" i="8"/>
  <c r="K194" i="8"/>
  <c r="I194" i="8"/>
  <c r="H194" i="8"/>
  <c r="M193" i="8"/>
  <c r="L193" i="8"/>
  <c r="K193" i="8"/>
  <c r="I193" i="8"/>
  <c r="H193" i="8"/>
  <c r="M192" i="8"/>
  <c r="L192" i="8"/>
  <c r="K192" i="8"/>
  <c r="I192" i="8"/>
  <c r="H192" i="8"/>
  <c r="M191" i="8"/>
  <c r="L191" i="8"/>
  <c r="K191" i="8"/>
  <c r="I191" i="8"/>
  <c r="H191" i="8"/>
  <c r="M190" i="8"/>
  <c r="L190" i="8"/>
  <c r="K190" i="8"/>
  <c r="I190" i="8"/>
  <c r="H190" i="8"/>
  <c r="M189" i="8"/>
  <c r="L189" i="8"/>
  <c r="K189" i="8"/>
  <c r="I189" i="8"/>
  <c r="H189" i="8"/>
  <c r="M188" i="8"/>
  <c r="L188" i="8"/>
  <c r="K188" i="8"/>
  <c r="I188" i="8"/>
  <c r="H188" i="8"/>
  <c r="M187" i="8"/>
  <c r="L187" i="8"/>
  <c r="K187" i="8"/>
  <c r="I187" i="8"/>
  <c r="H187" i="8"/>
  <c r="M186" i="8"/>
  <c r="L186" i="8"/>
  <c r="K186" i="8"/>
  <c r="I186" i="8"/>
  <c r="H186" i="8"/>
  <c r="M185" i="8"/>
  <c r="L185" i="8"/>
  <c r="K185" i="8"/>
  <c r="I185" i="8"/>
  <c r="H185" i="8"/>
  <c r="M184" i="8"/>
  <c r="L184" i="8"/>
  <c r="K184" i="8"/>
  <c r="I184" i="8"/>
  <c r="H184" i="8"/>
  <c r="M183" i="8"/>
  <c r="L183" i="8"/>
  <c r="K183" i="8"/>
  <c r="I183" i="8"/>
  <c r="H183" i="8"/>
  <c r="M182" i="8"/>
  <c r="L182" i="8"/>
  <c r="K182" i="8"/>
  <c r="I182" i="8"/>
  <c r="H182" i="8"/>
  <c r="M181" i="8"/>
  <c r="L181" i="8"/>
  <c r="K181" i="8"/>
  <c r="I181" i="8"/>
  <c r="H181" i="8"/>
  <c r="M180" i="8"/>
  <c r="L180" i="8"/>
  <c r="K180" i="8"/>
  <c r="I180" i="8"/>
  <c r="H180" i="8"/>
  <c r="M179" i="8"/>
  <c r="L179" i="8"/>
  <c r="K179" i="8"/>
  <c r="I179" i="8"/>
  <c r="H179" i="8"/>
  <c r="M178" i="8"/>
  <c r="L178" i="8"/>
  <c r="K178" i="8"/>
  <c r="I178" i="8"/>
  <c r="H178" i="8"/>
  <c r="M177" i="8"/>
  <c r="L177" i="8"/>
  <c r="K177" i="8"/>
  <c r="I177" i="8"/>
  <c r="H177" i="8"/>
  <c r="M176" i="8"/>
  <c r="L176" i="8"/>
  <c r="K176" i="8"/>
  <c r="I176" i="8"/>
  <c r="H176" i="8"/>
  <c r="M175" i="8"/>
  <c r="L175" i="8"/>
  <c r="K175" i="8"/>
  <c r="I175" i="8"/>
  <c r="H175" i="8"/>
  <c r="M174" i="8"/>
  <c r="L174" i="8"/>
  <c r="K174" i="8"/>
  <c r="I174" i="8"/>
  <c r="H174" i="8"/>
  <c r="M173" i="8"/>
  <c r="L173" i="8"/>
  <c r="K173" i="8"/>
  <c r="I173" i="8"/>
  <c r="H173" i="8"/>
  <c r="M172" i="8"/>
  <c r="L172" i="8"/>
  <c r="K172" i="8"/>
  <c r="I172" i="8"/>
  <c r="H172" i="8"/>
  <c r="M171" i="8"/>
  <c r="L171" i="8"/>
  <c r="K171" i="8"/>
  <c r="I171" i="8"/>
  <c r="H171" i="8"/>
  <c r="M170" i="8"/>
  <c r="L170" i="8"/>
  <c r="K170" i="8"/>
  <c r="I170" i="8"/>
  <c r="H170" i="8"/>
  <c r="M169" i="8"/>
  <c r="L169" i="8"/>
  <c r="K169" i="8"/>
  <c r="I169" i="8"/>
  <c r="H169" i="8"/>
  <c r="M168" i="8"/>
  <c r="L168" i="8"/>
  <c r="K168" i="8"/>
  <c r="I168" i="8"/>
  <c r="H168" i="8"/>
  <c r="M167" i="8"/>
  <c r="L167" i="8"/>
  <c r="K167" i="8"/>
  <c r="I167" i="8"/>
  <c r="H167" i="8"/>
  <c r="M166" i="8"/>
  <c r="L166" i="8"/>
  <c r="K166" i="8"/>
  <c r="I166" i="8"/>
  <c r="H166" i="8"/>
  <c r="M165" i="8"/>
  <c r="L165" i="8"/>
  <c r="K165" i="8"/>
  <c r="I165" i="8"/>
  <c r="H165" i="8"/>
  <c r="M164" i="8"/>
  <c r="L164" i="8"/>
  <c r="K164" i="8"/>
  <c r="I164" i="8"/>
  <c r="H164" i="8"/>
  <c r="M163" i="8"/>
  <c r="L163" i="8"/>
  <c r="K163" i="8"/>
  <c r="I163" i="8"/>
  <c r="H163" i="8"/>
  <c r="M162" i="8"/>
  <c r="L162" i="8"/>
  <c r="K162" i="8"/>
  <c r="I162" i="8"/>
  <c r="H162" i="8"/>
  <c r="M161" i="8"/>
  <c r="L161" i="8"/>
  <c r="K161" i="8"/>
  <c r="I161" i="8"/>
  <c r="H161" i="8"/>
  <c r="M160" i="8"/>
  <c r="L160" i="8"/>
  <c r="K160" i="8"/>
  <c r="I160" i="8"/>
  <c r="H160" i="8"/>
  <c r="M159" i="8"/>
  <c r="L159" i="8"/>
  <c r="K159" i="8"/>
  <c r="I159" i="8"/>
  <c r="H159" i="8"/>
  <c r="M158" i="8"/>
  <c r="L158" i="8"/>
  <c r="K158" i="8"/>
  <c r="I158" i="8"/>
  <c r="H158" i="8"/>
  <c r="M157" i="8"/>
  <c r="L157" i="8"/>
  <c r="K157" i="8"/>
  <c r="I157" i="8"/>
  <c r="H157" i="8"/>
  <c r="M156" i="8"/>
  <c r="L156" i="8"/>
  <c r="K156" i="8"/>
  <c r="I156" i="8"/>
  <c r="H156" i="8"/>
  <c r="M155" i="8"/>
  <c r="L155" i="8"/>
  <c r="K155" i="8"/>
  <c r="I155" i="8"/>
  <c r="H155" i="8"/>
  <c r="M154" i="8"/>
  <c r="L154" i="8"/>
  <c r="K154" i="8"/>
  <c r="I154" i="8"/>
  <c r="H154" i="8"/>
  <c r="M153" i="8"/>
  <c r="L153" i="8"/>
  <c r="K153" i="8"/>
  <c r="I153" i="8"/>
  <c r="H153" i="8"/>
  <c r="M152" i="8"/>
  <c r="L152" i="8"/>
  <c r="K152" i="8"/>
  <c r="I152" i="8"/>
  <c r="H152" i="8"/>
  <c r="M151" i="8"/>
  <c r="L151" i="8"/>
  <c r="K151" i="8"/>
  <c r="I151" i="8"/>
  <c r="H151" i="8"/>
  <c r="M150" i="8"/>
  <c r="L150" i="8"/>
  <c r="K150" i="8"/>
  <c r="I150" i="8"/>
  <c r="H150" i="8"/>
  <c r="M149" i="8"/>
  <c r="L149" i="8"/>
  <c r="K149" i="8"/>
  <c r="I149" i="8"/>
  <c r="H149" i="8"/>
  <c r="M148" i="8"/>
  <c r="L148" i="8"/>
  <c r="K148" i="8"/>
  <c r="I148" i="8"/>
  <c r="H148" i="8"/>
  <c r="M147" i="8"/>
  <c r="L147" i="8"/>
  <c r="K147" i="8"/>
  <c r="I147" i="8"/>
  <c r="H147" i="8"/>
  <c r="M146" i="8"/>
  <c r="L146" i="8"/>
  <c r="K146" i="8"/>
  <c r="I146" i="8"/>
  <c r="H146" i="8"/>
  <c r="M145" i="8"/>
  <c r="L145" i="8"/>
  <c r="K145" i="8"/>
  <c r="I145" i="8"/>
  <c r="H145" i="8"/>
  <c r="M144" i="8"/>
  <c r="L144" i="8"/>
  <c r="K144" i="8"/>
  <c r="I144" i="8"/>
  <c r="H144" i="8"/>
  <c r="M143" i="8"/>
  <c r="L143" i="8"/>
  <c r="K143" i="8"/>
  <c r="I143" i="8"/>
  <c r="H143" i="8"/>
  <c r="M142" i="8"/>
  <c r="L142" i="8"/>
  <c r="K142" i="8"/>
  <c r="I142" i="8"/>
  <c r="H142" i="8"/>
  <c r="M141" i="8"/>
  <c r="L141" i="8"/>
  <c r="K141" i="8"/>
  <c r="I141" i="8"/>
  <c r="H141" i="8"/>
  <c r="M140" i="8"/>
  <c r="L140" i="8"/>
  <c r="K140" i="8"/>
  <c r="I140" i="8"/>
  <c r="H140" i="8"/>
  <c r="M139" i="8"/>
  <c r="L139" i="8"/>
  <c r="K139" i="8"/>
  <c r="I139" i="8"/>
  <c r="H139" i="8"/>
  <c r="M138" i="8"/>
  <c r="L138" i="8"/>
  <c r="K138" i="8"/>
  <c r="I138" i="8"/>
  <c r="H138" i="8"/>
  <c r="M137" i="8"/>
  <c r="L137" i="8"/>
  <c r="K137" i="8"/>
  <c r="I137" i="8"/>
  <c r="H137" i="8"/>
  <c r="M136" i="8"/>
  <c r="L136" i="8"/>
  <c r="K136" i="8"/>
  <c r="I136" i="8"/>
  <c r="H136" i="8"/>
  <c r="M135" i="8"/>
  <c r="L135" i="8"/>
  <c r="K135" i="8"/>
  <c r="I135" i="8"/>
  <c r="H135" i="8"/>
  <c r="M134" i="8"/>
  <c r="L134" i="8"/>
  <c r="K134" i="8"/>
  <c r="I134" i="8"/>
  <c r="H134" i="8"/>
  <c r="M133" i="8"/>
  <c r="L133" i="8"/>
  <c r="K133" i="8"/>
  <c r="I133" i="8"/>
  <c r="H133" i="8"/>
  <c r="M132" i="8"/>
  <c r="L132" i="8"/>
  <c r="K132" i="8"/>
  <c r="I132" i="8"/>
  <c r="H132" i="8"/>
  <c r="M131" i="8"/>
  <c r="L131" i="8"/>
  <c r="K131" i="8"/>
  <c r="I131" i="8"/>
  <c r="H131" i="8"/>
  <c r="M130" i="8"/>
  <c r="L130" i="8"/>
  <c r="K130" i="8"/>
  <c r="I130" i="8"/>
  <c r="H130" i="8"/>
  <c r="M129" i="8"/>
  <c r="L129" i="8"/>
  <c r="K129" i="8"/>
  <c r="I129" i="8"/>
  <c r="H129" i="8"/>
  <c r="M128" i="8"/>
  <c r="L128" i="8"/>
  <c r="K128" i="8"/>
  <c r="I128" i="8"/>
  <c r="H128" i="8"/>
  <c r="M127" i="8"/>
  <c r="L127" i="8"/>
  <c r="K127" i="8"/>
  <c r="I127" i="8"/>
  <c r="H127" i="8"/>
  <c r="M126" i="8"/>
  <c r="L126" i="8"/>
  <c r="K126" i="8"/>
  <c r="I126" i="8"/>
  <c r="H126" i="8"/>
  <c r="M125" i="8"/>
  <c r="L125" i="8"/>
  <c r="K125" i="8"/>
  <c r="I125" i="8"/>
  <c r="H125" i="8"/>
  <c r="M124" i="8"/>
  <c r="L124" i="8"/>
  <c r="K124" i="8"/>
  <c r="I124" i="8"/>
  <c r="H124" i="8"/>
  <c r="M123" i="8"/>
  <c r="L123" i="8"/>
  <c r="K123" i="8"/>
  <c r="I123" i="8"/>
  <c r="H123" i="8"/>
  <c r="M122" i="8"/>
  <c r="L122" i="8"/>
  <c r="K122" i="8"/>
  <c r="I122" i="8"/>
  <c r="H122" i="8"/>
  <c r="M121" i="8"/>
  <c r="L121" i="8"/>
  <c r="K121" i="8"/>
  <c r="I121" i="8"/>
  <c r="H121" i="8"/>
  <c r="M120" i="8"/>
  <c r="L120" i="8"/>
  <c r="K120" i="8"/>
  <c r="I120" i="8"/>
  <c r="H120" i="8"/>
  <c r="M119" i="8"/>
  <c r="L119" i="8"/>
  <c r="K119" i="8"/>
  <c r="I119" i="8"/>
  <c r="H119" i="8"/>
  <c r="M118" i="8"/>
  <c r="L118" i="8"/>
  <c r="K118" i="8"/>
  <c r="I118" i="8"/>
  <c r="H118" i="8"/>
  <c r="M117" i="8"/>
  <c r="L117" i="8"/>
  <c r="K117" i="8"/>
  <c r="I117" i="8"/>
  <c r="H117" i="8"/>
  <c r="M116" i="8"/>
  <c r="L116" i="8"/>
  <c r="K116" i="8"/>
  <c r="I116" i="8"/>
  <c r="H116" i="8"/>
  <c r="M115" i="8"/>
  <c r="L115" i="8"/>
  <c r="K115" i="8"/>
  <c r="I115" i="8"/>
  <c r="H115" i="8"/>
  <c r="M114" i="8"/>
  <c r="L114" i="8"/>
  <c r="K114" i="8"/>
  <c r="I114" i="8"/>
  <c r="H114" i="8"/>
  <c r="M113" i="8"/>
  <c r="L113" i="8"/>
  <c r="K113" i="8"/>
  <c r="I113" i="8"/>
  <c r="H113" i="8"/>
  <c r="M112" i="8"/>
  <c r="L112" i="8"/>
  <c r="K112" i="8"/>
  <c r="I112" i="8"/>
  <c r="H112" i="8"/>
  <c r="M111" i="8"/>
  <c r="L111" i="8"/>
  <c r="K111" i="8"/>
  <c r="I111" i="8"/>
  <c r="H111" i="8"/>
  <c r="M110" i="8"/>
  <c r="L110" i="8"/>
  <c r="K110" i="8"/>
  <c r="I110" i="8"/>
  <c r="H110" i="8"/>
  <c r="M109" i="8"/>
  <c r="L109" i="8"/>
  <c r="K109" i="8"/>
  <c r="I109" i="8"/>
  <c r="H109" i="8"/>
  <c r="M108" i="8"/>
  <c r="L108" i="8"/>
  <c r="K108" i="8"/>
  <c r="I108" i="8"/>
  <c r="H108" i="8"/>
  <c r="M107" i="8"/>
  <c r="L107" i="8"/>
  <c r="K107" i="8"/>
  <c r="I107" i="8"/>
  <c r="H107" i="8"/>
  <c r="M106" i="8"/>
  <c r="L106" i="8"/>
  <c r="K106" i="8"/>
  <c r="I106" i="8"/>
  <c r="H106" i="8"/>
  <c r="M105" i="8"/>
  <c r="L105" i="8"/>
  <c r="K105" i="8"/>
  <c r="I105" i="8"/>
  <c r="H105" i="8"/>
  <c r="M104" i="8"/>
  <c r="L104" i="8"/>
  <c r="K104" i="8"/>
  <c r="I104" i="8"/>
  <c r="H104" i="8"/>
  <c r="M103" i="8"/>
  <c r="L103" i="8"/>
  <c r="K103" i="8"/>
  <c r="I103" i="8"/>
  <c r="H103" i="8"/>
  <c r="M102" i="8"/>
  <c r="L102" i="8"/>
  <c r="K102" i="8"/>
  <c r="I102" i="8"/>
  <c r="H102" i="8"/>
  <c r="M101" i="8"/>
  <c r="L101" i="8"/>
  <c r="K101" i="8"/>
  <c r="I101" i="8"/>
  <c r="H101" i="8"/>
  <c r="M100" i="8"/>
  <c r="L100" i="8"/>
  <c r="K100" i="8"/>
  <c r="I100" i="8"/>
  <c r="H100" i="8"/>
  <c r="M99" i="8"/>
  <c r="L99" i="8"/>
  <c r="K99" i="8"/>
  <c r="I99" i="8"/>
  <c r="H99" i="8"/>
  <c r="M98" i="8"/>
  <c r="L98" i="8"/>
  <c r="K98" i="8"/>
  <c r="I98" i="8"/>
  <c r="H98" i="8"/>
  <c r="M97" i="8"/>
  <c r="L97" i="8"/>
  <c r="K97" i="8"/>
  <c r="I97" i="8"/>
  <c r="H97" i="8"/>
  <c r="M96" i="8"/>
  <c r="L96" i="8"/>
  <c r="K96" i="8"/>
  <c r="I96" i="8"/>
  <c r="H96" i="8"/>
  <c r="M95" i="8"/>
  <c r="L95" i="8"/>
  <c r="K95" i="8"/>
  <c r="I95" i="8"/>
  <c r="H95" i="8"/>
  <c r="M94" i="8"/>
  <c r="L94" i="8"/>
  <c r="K94" i="8"/>
  <c r="I94" i="8"/>
  <c r="H94" i="8"/>
  <c r="M93" i="8"/>
  <c r="L93" i="8"/>
  <c r="K93" i="8"/>
  <c r="I93" i="8"/>
  <c r="H93" i="8"/>
  <c r="M92" i="8"/>
  <c r="L92" i="8"/>
  <c r="K92" i="8"/>
  <c r="I92" i="8"/>
  <c r="H92" i="8"/>
  <c r="M91" i="8"/>
  <c r="L91" i="8"/>
  <c r="K91" i="8"/>
  <c r="I91" i="8"/>
  <c r="H91" i="8"/>
  <c r="M90" i="8"/>
  <c r="L90" i="8"/>
  <c r="K90" i="8"/>
  <c r="I90" i="8"/>
  <c r="H90" i="8"/>
  <c r="M89" i="8"/>
  <c r="L89" i="8"/>
  <c r="K89" i="8"/>
  <c r="I89" i="8"/>
  <c r="H89" i="8"/>
  <c r="M88" i="8"/>
  <c r="L88" i="8"/>
  <c r="K88" i="8"/>
  <c r="I88" i="8"/>
  <c r="H88" i="8"/>
  <c r="M87" i="8"/>
  <c r="L87" i="8"/>
  <c r="K87" i="8"/>
  <c r="I87" i="8"/>
  <c r="H87" i="8"/>
  <c r="M86" i="8"/>
  <c r="L86" i="8"/>
  <c r="K86" i="8"/>
  <c r="I86" i="8"/>
  <c r="H86" i="8"/>
  <c r="M85" i="8"/>
  <c r="L85" i="8"/>
  <c r="K85" i="8"/>
  <c r="I85" i="8"/>
  <c r="H85" i="8"/>
  <c r="M84" i="8"/>
  <c r="L84" i="8"/>
  <c r="K84" i="8"/>
  <c r="I84" i="8"/>
  <c r="H84" i="8"/>
  <c r="M83" i="8"/>
  <c r="L83" i="8"/>
  <c r="K83" i="8"/>
  <c r="I83" i="8"/>
  <c r="H83" i="8"/>
  <c r="M82" i="8"/>
  <c r="L82" i="8"/>
  <c r="K82" i="8"/>
  <c r="I82" i="8"/>
  <c r="H82" i="8"/>
  <c r="M81" i="8"/>
  <c r="L81" i="8"/>
  <c r="K81" i="8"/>
  <c r="I81" i="8"/>
  <c r="H81" i="8"/>
  <c r="M80" i="8"/>
  <c r="L80" i="8"/>
  <c r="K80" i="8"/>
  <c r="I80" i="8"/>
  <c r="H80" i="8"/>
  <c r="M79" i="8"/>
  <c r="L79" i="8"/>
  <c r="K79" i="8"/>
  <c r="I79" i="8"/>
  <c r="H79" i="8"/>
  <c r="M78" i="8"/>
  <c r="L78" i="8"/>
  <c r="K78" i="8"/>
  <c r="I78" i="8"/>
  <c r="H78" i="8"/>
  <c r="M77" i="8"/>
  <c r="L77" i="8"/>
  <c r="K77" i="8"/>
  <c r="I77" i="8"/>
  <c r="H77" i="8"/>
  <c r="M76" i="8"/>
  <c r="L76" i="8"/>
  <c r="K76" i="8"/>
  <c r="I76" i="8"/>
  <c r="H76" i="8"/>
  <c r="M75" i="8"/>
  <c r="L75" i="8"/>
  <c r="K75" i="8"/>
  <c r="I75" i="8"/>
  <c r="H75" i="8"/>
  <c r="M74" i="8"/>
  <c r="L74" i="8"/>
  <c r="K74" i="8"/>
  <c r="I74" i="8"/>
  <c r="H74" i="8"/>
  <c r="M73" i="8"/>
  <c r="L73" i="8"/>
  <c r="K73" i="8"/>
  <c r="I73" i="8"/>
  <c r="H73" i="8"/>
  <c r="M72" i="8"/>
  <c r="L72" i="8"/>
  <c r="K72" i="8"/>
  <c r="I72" i="8"/>
  <c r="H72" i="8"/>
  <c r="M71" i="8"/>
  <c r="L71" i="8"/>
  <c r="K71" i="8"/>
  <c r="I71" i="8"/>
  <c r="H71" i="8"/>
  <c r="M70" i="8"/>
  <c r="L70" i="8"/>
  <c r="K70" i="8"/>
  <c r="I70" i="8"/>
  <c r="H70" i="8"/>
  <c r="M69" i="8"/>
  <c r="L69" i="8"/>
  <c r="K69" i="8"/>
  <c r="I69" i="8"/>
  <c r="H69" i="8"/>
  <c r="M68" i="8"/>
  <c r="L68" i="8"/>
  <c r="K68" i="8"/>
  <c r="I68" i="8"/>
  <c r="H68" i="8"/>
  <c r="M67" i="8"/>
  <c r="L67" i="8"/>
  <c r="K67" i="8"/>
  <c r="I67" i="8"/>
  <c r="H67" i="8"/>
  <c r="M66" i="8"/>
  <c r="L66" i="8"/>
  <c r="K66" i="8"/>
  <c r="I66" i="8"/>
  <c r="H66" i="8"/>
  <c r="M65" i="8"/>
  <c r="L65" i="8"/>
  <c r="K65" i="8"/>
  <c r="I65" i="8"/>
  <c r="H65" i="8"/>
  <c r="M64" i="8"/>
  <c r="L64" i="8"/>
  <c r="K64" i="8"/>
  <c r="I64" i="8"/>
  <c r="H64" i="8"/>
  <c r="M63" i="8"/>
  <c r="L63" i="8"/>
  <c r="K63" i="8"/>
  <c r="I63" i="8"/>
  <c r="H63" i="8"/>
  <c r="M62" i="8"/>
  <c r="L62" i="8"/>
  <c r="K62" i="8"/>
  <c r="I62" i="8"/>
  <c r="H62" i="8"/>
  <c r="M61" i="8"/>
  <c r="L61" i="8"/>
  <c r="K61" i="8"/>
  <c r="I61" i="8"/>
  <c r="H61" i="8"/>
  <c r="M60" i="8"/>
  <c r="L60" i="8"/>
  <c r="K60" i="8"/>
  <c r="I60" i="8"/>
  <c r="H60" i="8"/>
  <c r="M59" i="8"/>
  <c r="L59" i="8"/>
  <c r="K59" i="8"/>
  <c r="I59" i="8"/>
  <c r="H59" i="8"/>
  <c r="M58" i="8"/>
  <c r="L58" i="8"/>
  <c r="K58" i="8"/>
  <c r="I58" i="8"/>
  <c r="H58" i="8"/>
  <c r="M57" i="8"/>
  <c r="L57" i="8"/>
  <c r="K57" i="8"/>
  <c r="I57" i="8"/>
  <c r="H57" i="8"/>
  <c r="M56" i="8"/>
  <c r="L56" i="8"/>
  <c r="K56" i="8"/>
  <c r="I56" i="8"/>
  <c r="H56" i="8"/>
  <c r="M55" i="8"/>
  <c r="L55" i="8"/>
  <c r="K55" i="8"/>
  <c r="I55" i="8"/>
  <c r="H55" i="8"/>
  <c r="M54" i="8"/>
  <c r="L54" i="8"/>
  <c r="K54" i="8"/>
  <c r="I54" i="8"/>
  <c r="H54" i="8"/>
  <c r="M53" i="8"/>
  <c r="L53" i="8"/>
  <c r="K53" i="8"/>
  <c r="I53" i="8"/>
  <c r="H53" i="8"/>
  <c r="M52" i="8"/>
  <c r="L52" i="8"/>
  <c r="K52" i="8"/>
  <c r="I52" i="8"/>
  <c r="H52" i="8"/>
  <c r="M51" i="8"/>
  <c r="L51" i="8"/>
  <c r="K51" i="8"/>
  <c r="I51" i="8"/>
  <c r="H51" i="8"/>
  <c r="M50" i="8"/>
  <c r="L50" i="8"/>
  <c r="K50" i="8"/>
  <c r="I50" i="8"/>
  <c r="H50" i="8"/>
  <c r="M49" i="8"/>
  <c r="L49" i="8"/>
  <c r="K49" i="8"/>
  <c r="I49" i="8"/>
  <c r="H49" i="8"/>
  <c r="M48" i="8"/>
  <c r="L48" i="8"/>
  <c r="K48" i="8"/>
  <c r="I48" i="8"/>
  <c r="H48" i="8"/>
  <c r="M47" i="8"/>
  <c r="L47" i="8"/>
  <c r="K47" i="8"/>
  <c r="I47" i="8"/>
  <c r="H47" i="8"/>
  <c r="M46" i="8"/>
  <c r="L46" i="8"/>
  <c r="K46" i="8"/>
  <c r="I46" i="8"/>
  <c r="H46" i="8"/>
  <c r="M45" i="8"/>
  <c r="L45" i="8"/>
  <c r="K45" i="8"/>
  <c r="I45" i="8"/>
  <c r="H45" i="8"/>
  <c r="M44" i="8"/>
  <c r="L44" i="8"/>
  <c r="K44" i="8"/>
  <c r="I44" i="8"/>
  <c r="H44" i="8"/>
  <c r="M43" i="8"/>
  <c r="L43" i="8"/>
  <c r="K43" i="8"/>
  <c r="I43" i="8"/>
  <c r="H43" i="8"/>
  <c r="M42" i="8"/>
  <c r="L42" i="8"/>
  <c r="K42" i="8"/>
  <c r="I42" i="8"/>
  <c r="H42" i="8"/>
  <c r="M41" i="8"/>
  <c r="L41" i="8"/>
  <c r="K41" i="8"/>
  <c r="I41" i="8"/>
  <c r="H41" i="8"/>
  <c r="M40" i="8"/>
  <c r="L40" i="8"/>
  <c r="K40" i="8"/>
  <c r="I40" i="8"/>
  <c r="H40" i="8"/>
  <c r="M39" i="8"/>
  <c r="L39" i="8"/>
  <c r="K39" i="8"/>
  <c r="I39" i="8"/>
  <c r="H39" i="8"/>
  <c r="M38" i="8"/>
  <c r="L38" i="8"/>
  <c r="K38" i="8"/>
  <c r="I38" i="8"/>
  <c r="H38" i="8"/>
  <c r="M37" i="8"/>
  <c r="L37" i="8"/>
  <c r="K37" i="8"/>
  <c r="I37" i="8"/>
  <c r="H37" i="8"/>
  <c r="M36" i="8"/>
  <c r="L36" i="8"/>
  <c r="K36" i="8"/>
  <c r="I36" i="8"/>
  <c r="H36" i="8"/>
  <c r="M35" i="8"/>
  <c r="L35" i="8"/>
  <c r="K35" i="8"/>
  <c r="I35" i="8"/>
  <c r="H35" i="8"/>
  <c r="M34" i="8"/>
  <c r="L34" i="8"/>
  <c r="K34" i="8"/>
  <c r="I34" i="8"/>
  <c r="H34" i="8"/>
  <c r="M33" i="8"/>
  <c r="L33" i="8"/>
  <c r="K33" i="8"/>
  <c r="I33" i="8"/>
  <c r="H33" i="8"/>
  <c r="M32" i="8"/>
  <c r="L32" i="8"/>
  <c r="K32" i="8"/>
  <c r="I32" i="8"/>
  <c r="H32" i="8"/>
  <c r="M31" i="8"/>
  <c r="L31" i="8"/>
  <c r="K31" i="8"/>
  <c r="I31" i="8"/>
  <c r="H31" i="8"/>
  <c r="M30" i="8"/>
  <c r="L30" i="8"/>
  <c r="K30" i="8"/>
  <c r="I30" i="8"/>
  <c r="H30" i="8"/>
  <c r="M29" i="8"/>
  <c r="L29" i="8"/>
  <c r="K29" i="8"/>
  <c r="I29" i="8"/>
  <c r="H29" i="8"/>
  <c r="M28" i="8"/>
  <c r="L28" i="8"/>
  <c r="K28" i="8"/>
  <c r="I28" i="8"/>
  <c r="H28" i="8"/>
  <c r="M27" i="8"/>
  <c r="L27" i="8"/>
  <c r="K27" i="8"/>
  <c r="I27" i="8"/>
  <c r="H27" i="8"/>
  <c r="M26" i="8"/>
  <c r="L26" i="8"/>
  <c r="K26" i="8"/>
  <c r="I26" i="8"/>
  <c r="H26" i="8"/>
  <c r="M25" i="8"/>
  <c r="L25" i="8"/>
  <c r="K25" i="8"/>
  <c r="I25" i="8"/>
  <c r="H25" i="8"/>
  <c r="M24" i="8"/>
  <c r="L24" i="8"/>
  <c r="K24" i="8"/>
  <c r="I24" i="8"/>
  <c r="H24" i="8"/>
  <c r="M23" i="8"/>
  <c r="L23" i="8"/>
  <c r="K23" i="8"/>
  <c r="I23" i="8"/>
  <c r="H23" i="8"/>
  <c r="M22" i="8"/>
  <c r="L22" i="8"/>
  <c r="K22" i="8"/>
  <c r="I22" i="8"/>
  <c r="H22" i="8"/>
  <c r="M21" i="8"/>
  <c r="L21" i="8"/>
  <c r="K21" i="8"/>
  <c r="I21" i="8"/>
  <c r="H21" i="8"/>
  <c r="M20" i="8"/>
  <c r="L20" i="8"/>
  <c r="K20" i="8"/>
  <c r="I20" i="8"/>
  <c r="H20" i="8"/>
  <c r="M19" i="8"/>
  <c r="L19" i="8"/>
  <c r="K19" i="8"/>
  <c r="I19" i="8"/>
  <c r="H19" i="8"/>
  <c r="M18" i="8"/>
  <c r="L18" i="8"/>
  <c r="K18" i="8"/>
  <c r="I18" i="8"/>
  <c r="H18" i="8"/>
  <c r="M17" i="8"/>
  <c r="L17" i="8"/>
  <c r="K17" i="8"/>
  <c r="I17" i="8"/>
  <c r="H17" i="8"/>
  <c r="M16" i="8"/>
  <c r="L16" i="8"/>
  <c r="K16" i="8"/>
  <c r="I16" i="8"/>
  <c r="H16" i="8"/>
  <c r="M15" i="8"/>
  <c r="L15" i="8"/>
  <c r="K15" i="8"/>
  <c r="I15" i="8"/>
  <c r="H15" i="8"/>
  <c r="M14" i="8"/>
  <c r="L14" i="8"/>
  <c r="K14" i="8"/>
  <c r="I14" i="8"/>
  <c r="H14" i="8"/>
  <c r="M13" i="8"/>
  <c r="L13" i="8"/>
  <c r="K13" i="8"/>
  <c r="I13" i="8"/>
  <c r="H13" i="8"/>
  <c r="M12" i="8"/>
  <c r="L12" i="8"/>
  <c r="K12" i="8"/>
  <c r="I12" i="8"/>
  <c r="H12" i="8"/>
  <c r="M11" i="8"/>
  <c r="L11" i="8"/>
  <c r="K11" i="8"/>
  <c r="I11" i="8"/>
  <c r="H11" i="8"/>
  <c r="M10" i="8"/>
  <c r="L10" i="8"/>
  <c r="K10" i="8"/>
  <c r="I10" i="8"/>
  <c r="H10" i="8"/>
  <c r="M9" i="8"/>
  <c r="L9" i="8"/>
  <c r="K9" i="8"/>
  <c r="I9" i="8"/>
  <c r="H9" i="8"/>
  <c r="M8" i="8"/>
  <c r="L8" i="8"/>
  <c r="K8" i="8"/>
  <c r="I8" i="8"/>
  <c r="H8" i="8"/>
  <c r="M7" i="8"/>
  <c r="L7" i="8"/>
  <c r="K7" i="8"/>
  <c r="I7" i="8"/>
  <c r="H7" i="8"/>
  <c r="M6" i="8"/>
  <c r="L6" i="8"/>
  <c r="K6" i="8"/>
  <c r="I6" i="8"/>
  <c r="M5" i="8"/>
  <c r="L5" i="8"/>
  <c r="K5" i="8"/>
  <c r="I5" i="8"/>
  <c r="M4" i="8"/>
  <c r="L4" i="8"/>
  <c r="K4" i="8"/>
  <c r="I4" i="8"/>
  <c r="M3" i="8"/>
  <c r="L3" i="8"/>
  <c r="K3" i="8"/>
  <c r="I3" i="8"/>
  <c r="M2" i="8"/>
  <c r="L2" i="8"/>
  <c r="K2" i="8"/>
  <c r="I2" i="8"/>
  <c r="H2" i="8"/>
  <c r="O2" i="4"/>
  <c r="N2" i="4"/>
  <c r="K2" i="4"/>
  <c r="L2" i="4" s="1"/>
  <c r="M2" i="4" s="1"/>
  <c r="I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<sst xmlns="http://schemas.openxmlformats.org/spreadsheetml/2006/main" count="703" uniqueCount="437">
  <si>
    <t>FULL NAME</t>
  </si>
  <si>
    <t>EMAIL</t>
  </si>
  <si>
    <t>PHONE NUMBER</t>
  </si>
  <si>
    <t>WHATSAPP NUMBER</t>
  </si>
  <si>
    <t>SOURCE</t>
  </si>
  <si>
    <t>COURSE</t>
  </si>
  <si>
    <t>REGIONS</t>
  </si>
  <si>
    <t>COUNSELOR</t>
  </si>
  <si>
    <t>COUNSELOR EMAIL</t>
  </si>
  <si>
    <t>Location</t>
  </si>
  <si>
    <t>Cleaning Numbers[Signs,Spaces]</t>
  </si>
  <si>
    <t>Checking Space</t>
  </si>
  <si>
    <t>Clean Numbers [Country Codes]</t>
  </si>
  <si>
    <t>AUTOCHECK COUNSELOR</t>
  </si>
  <si>
    <t>IGNORE THIS ROW</t>
  </si>
  <si>
    <t>Alfiya K S Ahammed</t>
  </si>
  <si>
    <t>sales.india10@greenwgroup.com</t>
  </si>
  <si>
    <t>Alphonsa Remya</t>
  </si>
  <si>
    <t>sales.india5@greenwgroup.com</t>
  </si>
  <si>
    <t>Arul Balamurugan</t>
  </si>
  <si>
    <t>sales.india2@greenwgroup.com</t>
  </si>
  <si>
    <t>Aswathi S Nair</t>
  </si>
  <si>
    <t>Bhuvan P</t>
  </si>
  <si>
    <t>sales.india3@greenwgroup.com</t>
  </si>
  <si>
    <t>Gifty Jain</t>
  </si>
  <si>
    <t>gifty.j@greenwgroup.com</t>
  </si>
  <si>
    <t>Krishnamoorthy M</t>
  </si>
  <si>
    <t>krishnamoorthy.m@greenwgroup.com</t>
  </si>
  <si>
    <t>Mohammad Ashquar</t>
  </si>
  <si>
    <t>sales.india18@greenwgroup.com</t>
  </si>
  <si>
    <t>Neha Mahto</t>
  </si>
  <si>
    <t>neha.m@greenwgroup.com</t>
  </si>
  <si>
    <t>Rimna P</t>
  </si>
  <si>
    <t>sales.india6@greenwgroup.com</t>
  </si>
  <si>
    <t>Prabavathy</t>
  </si>
  <si>
    <t>prabavathy.b@greenwgroup.com</t>
  </si>
  <si>
    <t>Rina Dutta</t>
  </si>
  <si>
    <t>sales.india8@greenwgroup.com</t>
  </si>
  <si>
    <t>Sadia Bano</t>
  </si>
  <si>
    <t>sales.india11@greenwgroup.com</t>
  </si>
  <si>
    <t>Saurabh Gupta</t>
  </si>
  <si>
    <t>sales.india9@greenwgroup.com</t>
  </si>
  <si>
    <t>Summaiya Fatima</t>
  </si>
  <si>
    <t>sales.india14@greenwgroup.com</t>
  </si>
  <si>
    <t>Swarnali Das</t>
  </si>
  <si>
    <t>sales.india15@greenwgroup.com</t>
  </si>
  <si>
    <t>Umayal</t>
  </si>
  <si>
    <t>sales.uae3@greenworldsafety.com</t>
  </si>
  <si>
    <t>Priya</t>
  </si>
  <si>
    <t>sales.uae1@greenworldsafety.com</t>
  </si>
  <si>
    <t>Web</t>
  </si>
  <si>
    <t>Organic Search</t>
  </si>
  <si>
    <t>Email</t>
  </si>
  <si>
    <t>Phone</t>
  </si>
  <si>
    <t>Chat</t>
  </si>
  <si>
    <t>Web Form</t>
  </si>
  <si>
    <t>Referral</t>
  </si>
  <si>
    <t>Landing page</t>
  </si>
  <si>
    <t>Old Cand</t>
  </si>
  <si>
    <t>Social Media</t>
  </si>
  <si>
    <t>Direct call</t>
  </si>
  <si>
    <t>Blog</t>
  </si>
  <si>
    <t>Webinar</t>
  </si>
  <si>
    <t>SMS</t>
  </si>
  <si>
    <t>Whatsapp</t>
  </si>
  <si>
    <t>Live Chat</t>
  </si>
  <si>
    <t>Facebook</t>
  </si>
  <si>
    <t>Linkedin</t>
  </si>
  <si>
    <t>Instagram</t>
  </si>
  <si>
    <t>Others</t>
  </si>
  <si>
    <t>sources</t>
  </si>
  <si>
    <t>NEBOSH Course</t>
  </si>
  <si>
    <t>IOSH Course</t>
  </si>
  <si>
    <t>Safety Diploma Courses</t>
  </si>
  <si>
    <t>ISO Lead Auditor Course</t>
  </si>
  <si>
    <t>Food Safety Course</t>
  </si>
  <si>
    <t>NEBOSH - IGC</t>
  </si>
  <si>
    <t>NEBOSH - HSW</t>
  </si>
  <si>
    <t>NEBOSH - PSM</t>
  </si>
  <si>
    <t>NEBOSH - IDIP</t>
  </si>
  <si>
    <t>NEBOSH - Fire Safety</t>
  </si>
  <si>
    <t>NEBOSH -EAW</t>
  </si>
  <si>
    <t>OTHM</t>
  </si>
  <si>
    <t>SAFETY DIPLOMA</t>
  </si>
  <si>
    <t>ADVANCED DIPLOMA</t>
  </si>
  <si>
    <t>POST DIPLOMA</t>
  </si>
  <si>
    <t>MASTER DIPLOMA</t>
  </si>
  <si>
    <t>PG DIPLOMA</t>
  </si>
  <si>
    <t>IOSH</t>
  </si>
  <si>
    <t>OSHA</t>
  </si>
  <si>
    <t>ISO 45001:2018</t>
  </si>
  <si>
    <t>ISO 14001:2015</t>
  </si>
  <si>
    <t>ISO 9001:2015</t>
  </si>
  <si>
    <t>HACCP</t>
  </si>
  <si>
    <t>FOOD SAFETY COURSES</t>
  </si>
  <si>
    <t>IMS INTERNAL AUDITOR</t>
  </si>
  <si>
    <t>EMS</t>
  </si>
  <si>
    <t>ROSPA COURSES</t>
  </si>
  <si>
    <t>CPD COURSES</t>
  </si>
  <si>
    <t>KHDA COURSES</t>
  </si>
  <si>
    <t>CPD STANDARD OFFICE COURSES</t>
  </si>
  <si>
    <t>OTHER COURSES</t>
  </si>
  <si>
    <t>IIRSM COURSES</t>
  </si>
  <si>
    <t>Other Safety Courses</t>
  </si>
  <si>
    <t>courses</t>
  </si>
  <si>
    <t>18-25</t>
  </si>
  <si>
    <t>25-35</t>
  </si>
  <si>
    <t>35-45</t>
  </si>
  <si>
    <t>45+</t>
  </si>
  <si>
    <t>age</t>
  </si>
  <si>
    <t>Andhra Pradesh</t>
  </si>
  <si>
    <t>Arunachal Pradesh</t>
  </si>
  <si>
    <t>Assam</t>
  </si>
  <si>
    <t>Bihar</t>
  </si>
  <si>
    <t>Chhattisgarh</t>
  </si>
  <si>
    <t>Goa</t>
  </si>
  <si>
    <t>Gujarat</t>
  </si>
  <si>
    <t>Haryana</t>
  </si>
  <si>
    <t>Himachal Pradesh</t>
  </si>
  <si>
    <t>Jharkhand</t>
  </si>
  <si>
    <t>Karnataka</t>
  </si>
  <si>
    <t>Kerala</t>
  </si>
  <si>
    <t>Madhya Pradesh</t>
  </si>
  <si>
    <t>Maharashtra</t>
  </si>
  <si>
    <t>Manipur</t>
  </si>
  <si>
    <t>Meghalaya</t>
  </si>
  <si>
    <t>Mizoram</t>
  </si>
  <si>
    <t>Nagaland</t>
  </si>
  <si>
    <t>Odisha</t>
  </si>
  <si>
    <t>Punjab</t>
  </si>
  <si>
    <t>Rajasthan</t>
  </si>
  <si>
    <t>Sikkim</t>
  </si>
  <si>
    <t>Tamil Nadu</t>
  </si>
  <si>
    <t>Telangana</t>
  </si>
  <si>
    <t>Tripura</t>
  </si>
  <si>
    <t>Uttar Pradesh</t>
  </si>
  <si>
    <t>Uttarakhand</t>
  </si>
  <si>
    <t>West Bengal</t>
  </si>
  <si>
    <t>Andaman and Nicobar Islands</t>
  </si>
  <si>
    <t>Chandigarh</t>
  </si>
  <si>
    <t>Dadra &amp; Nagar Haveli and Daman &amp; Diu</t>
  </si>
  <si>
    <t>Delhi</t>
  </si>
  <si>
    <t>Jammu and Kashmir</t>
  </si>
  <si>
    <t>Lakshadweep</t>
  </si>
  <si>
    <t>Puducherry</t>
  </si>
  <si>
    <t>Ladakh</t>
  </si>
  <si>
    <t>Other Country</t>
  </si>
  <si>
    <t>Afghanistan</t>
  </si>
  <si>
    <t>Albania</t>
  </si>
  <si>
    <t>Algeria</t>
  </si>
  <si>
    <t>Andorra</t>
  </si>
  <si>
    <t>Angola</t>
  </si>
  <si>
    <t>Antigua and Barbuda</t>
  </si>
  <si>
    <t>Argentina</t>
  </si>
  <si>
    <t>Armenia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</si>
  <si>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</si>
  <si>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</si>
  <si>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</si>
  <si>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</si>
  <si>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</si>
  <si>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</si>
  <si>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</si>
  <si>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</si>
  <si>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</si>
  <si>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</si>
  <si>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</si>
  <si>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Bhutan</t>
  </si>
  <si>
    <t>Bosnia and Herzegovina</t>
  </si>
  <si>
    <t>Botswana</t>
  </si>
  <si>
    <t>Brazil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</si>
  <si>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</si>
  <si>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</si>
  <si>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</si>
  <si>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</si>
  <si>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</si>
  <si>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</si>
  <si>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</si>
  <si>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</si>
  <si>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</si>
  <si>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</si>
  <si>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</si>
  <si>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</si>
  <si>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</si>
  <si>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</si>
  <si>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</t>
  </si>
  <si>
    <t>Costa Rica</t>
  </si>
  <si>
    <t>Croatia</t>
  </si>
  <si>
    <t>Cuba</t>
  </si>
  <si>
    <t>Cyprus</t>
  </si>
  <si>
    <t>Czech Republic (Czechia)</t>
  </si>
  <si>
    <t>Côte d'Ivoire</t>
  </si>
  <si>
    <t>Denmark</t>
  </si>
  <si>
    <t>Djibouti</t>
  </si>
  <si>
    <t>Dominican Republic</t>
  </si>
  <si>
    <t>DR Congo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</si>
  <si>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</si>
  <si>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</si>
  <si>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</si>
  <si>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</si>
  <si>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</si>
  <si>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</si>
  <si>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</si>
  <si>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</si>
  <si>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Fiji</t>
  </si>
  <si>
    <t>Finland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</si>
  <si>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</si>
  <si>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</si>
  <si>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</si>
  <si>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</si>
  <si>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</si>
  <si>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</si>
  <si>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</si>
  <si>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</si>
  <si>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</si>
  <si>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</si>
  <si>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</si>
  <si>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</si>
  <si>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Holy See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</si>
  <si>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</si>
  <si>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</si>
  <si>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</si>
  <si>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</si>
  <si>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</si>
  <si>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</si>
  <si>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</si>
  <si>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</si>
  <si>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</si>
  <si>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</si>
  <si>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</si>
  <si>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</si>
  <si>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</si>
  <si>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</si>
  <si>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</si>
  <si>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</si>
  <si>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</si>
  <si>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</si>
  <si>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</si>
  <si>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</si>
  <si>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</si>
  <si>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</si>
  <si>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</si>
  <si>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</si>
  <si>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</si>
  <si>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</si>
  <si>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</si>
  <si>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</si>
  <si>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</si>
  <si>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</si>
  <si>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</si>
  <si>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</si>
  <si>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</si>
  <si>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</si>
  <si>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</si>
  <si>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</si>
  <si>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</si>
  <si>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</si>
  <si>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</si>
  <si>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</si>
  <si>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</si>
  <si>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</si>
  <si>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</si>
  <si>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</si>
  <si>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</si>
  <si>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</si>
  <si>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</si>
  <si>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</si>
  <si>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</si>
  <si>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</si>
  <si>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</si>
  <si>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</si>
  <si>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</si>
  <si>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</si>
  <si>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</si>
  <si>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</si>
  <si>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</si>
  <si>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</si>
  <si>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</si>
  <si>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Panama</t>
  </si>
  <si>
    <t>Papua New Guinea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</si>
  <si>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</si>
  <si>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</si>
  <si>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</si>
  <si>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</si>
  <si>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</si>
  <si>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</si>
  <si>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</si>
  <si>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</si>
  <si>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</si>
  <si>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Saint Kitts &amp; Nevis</t>
  </si>
  <si>
    <t>Saint Lucia</t>
  </si>
  <si>
    <t>Samoa</t>
  </si>
  <si>
    <t>San Marino</t>
  </si>
  <si>
    <t>Sao Tome &amp;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</si>
  <si>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</si>
  <si>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</si>
  <si>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</si>
  <si>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</si>
  <si>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</si>
  <si>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</si>
  <si>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</si>
  <si>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</si>
  <si>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</si>
  <si>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</si>
  <si>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</si>
  <si>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</si>
  <si>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</si>
  <si>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</si>
  <si>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</si>
  <si>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St. Vincent &amp; Grenadines</t>
  </si>
  <si>
    <t>State of Palestine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</si>
  <si>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</si>
  <si>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</si>
  <si>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</si>
  <si>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</si>
  <si>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</si>
  <si>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</si>
  <si>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</si>
  <si>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</si>
  <si>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</si>
  <si>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</si>
  <si>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</si>
  <si>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</si>
  <si>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</si>
  <si>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</si>
  <si>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</si>
  <si>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</si>
  <si>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</si>
  <si>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</si>
  <si>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</si>
  <si>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</si>
  <si>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</si>
  <si>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</si>
  <si>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</si>
  <si>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</si>
  <si>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</si>
  <si>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</si>
  <si>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</si>
  <si>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</si>
  <si>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</si>
  <si>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</si>
  <si>
    <t>regions</t>
  </si>
  <si>
    <t>statusoflead</t>
  </si>
  <si>
    <t>Not interested</t>
  </si>
  <si>
    <t>No Response (RNR)</t>
  </si>
  <si>
    <t>Invalid</t>
  </si>
  <si>
    <t>Call me later</t>
  </si>
  <si>
    <t>Later</t>
  </si>
  <si>
    <t>Follow up</t>
  </si>
  <si>
    <t>Good</t>
  </si>
  <si>
    <t>Hot</t>
  </si>
  <si>
    <t>Converted</t>
  </si>
  <si>
    <t>New</t>
  </si>
  <si>
    <t>sales.india4@greenwgroup.com</t>
  </si>
  <si>
    <t>Reshma Diwakar</t>
  </si>
  <si>
    <t>Sikta Das</t>
  </si>
  <si>
    <t>sikta.d@greenwgroup.com</t>
  </si>
  <si>
    <t>Bhuvan</t>
  </si>
  <si>
    <t>Alfiya</t>
  </si>
  <si>
    <t>HAZOP</t>
  </si>
  <si>
    <t>FORMATTED NAMES</t>
  </si>
  <si>
    <t>FORMATTED EMAILS</t>
  </si>
  <si>
    <t>INDUSTRIAL DIPLOMA</t>
  </si>
  <si>
    <t>CFPS</t>
  </si>
  <si>
    <t>CSPF</t>
  </si>
  <si>
    <t>IEMA</t>
  </si>
  <si>
    <t>assistant-manager@greenwgroup.com</t>
  </si>
  <si>
    <t>Sahar Khanzada</t>
  </si>
  <si>
    <t>sahar.k@greenwgroup.com</t>
  </si>
  <si>
    <t>NEBOSH - HSE</t>
  </si>
  <si>
    <t>Adarsh Shiju</t>
  </si>
  <si>
    <t>sales.uae4@greenwgroup.com</t>
  </si>
  <si>
    <t>NEBOSH - INCIDENT INVESTIGATION</t>
  </si>
  <si>
    <t>NEBOSH</t>
  </si>
  <si>
    <t>Dubai</t>
  </si>
  <si>
    <t>Alappuzha</t>
  </si>
  <si>
    <t>NEBOSH IDIP</t>
  </si>
  <si>
    <t>Muzaffarpur, Bihar</t>
  </si>
  <si>
    <t>raipur</t>
  </si>
  <si>
    <t>pali</t>
  </si>
  <si>
    <t>Hyderabad</t>
  </si>
  <si>
    <t>Oman khasab</t>
  </si>
  <si>
    <t>UAE Dubai</t>
  </si>
  <si>
    <t>NEBOSH IGC</t>
  </si>
  <si>
    <t>Bagalkote</t>
  </si>
  <si>
    <t>Bangalore</t>
  </si>
  <si>
    <t>matric</t>
  </si>
  <si>
    <t>uae</t>
  </si>
  <si>
    <t>Ernakulam</t>
  </si>
  <si>
    <t>Riyadh</t>
  </si>
  <si>
    <t>ksa</t>
  </si>
  <si>
    <t>Baqaiq</t>
  </si>
  <si>
    <t>riyadh</t>
  </si>
  <si>
    <t>Abu Dhabi</t>
  </si>
  <si>
    <t>ADIS</t>
  </si>
  <si>
    <t>Pune</t>
  </si>
  <si>
    <t>Motihari Bihar</t>
  </si>
  <si>
    <t>muzaffarpur</t>
  </si>
  <si>
    <t>सीवान बिहार</t>
  </si>
  <si>
    <t>siwan</t>
  </si>
  <si>
    <t>Muzaffarpur</t>
  </si>
  <si>
    <t>Patna</t>
  </si>
  <si>
    <t>dubai</t>
  </si>
  <si>
    <t>xxx1</t>
  </si>
  <si>
    <t>xxx2</t>
  </si>
  <si>
    <t>xx1@gmal.com</t>
  </si>
  <si>
    <t>xx2@gmail.com</t>
  </si>
  <si>
    <t>xxx3</t>
  </si>
  <si>
    <t>xxx4</t>
  </si>
  <si>
    <t>xxx5</t>
  </si>
  <si>
    <t>xxx6</t>
  </si>
  <si>
    <t>xxx7</t>
  </si>
  <si>
    <t>xxx8</t>
  </si>
  <si>
    <t>xxx9</t>
  </si>
  <si>
    <t>xxx10</t>
  </si>
  <si>
    <t>xxx11</t>
  </si>
  <si>
    <t>xxx12</t>
  </si>
  <si>
    <t>xxx13</t>
  </si>
  <si>
    <t>xxx14</t>
  </si>
  <si>
    <t>xxx15</t>
  </si>
  <si>
    <t>xxx16</t>
  </si>
  <si>
    <t>xxx17</t>
  </si>
  <si>
    <t>xxx18</t>
  </si>
  <si>
    <t>xxx19</t>
  </si>
  <si>
    <t>xxx20</t>
  </si>
  <si>
    <t>xxx21</t>
  </si>
  <si>
    <t>xxx22</t>
  </si>
  <si>
    <t>xxx23</t>
  </si>
  <si>
    <t>xxx24</t>
  </si>
  <si>
    <t>xxx25</t>
  </si>
  <si>
    <t>xxx26</t>
  </si>
  <si>
    <t>xxx27</t>
  </si>
  <si>
    <t>xxx28</t>
  </si>
  <si>
    <t>xxx29</t>
  </si>
  <si>
    <t>xxx30</t>
  </si>
  <si>
    <t>xxx31</t>
  </si>
  <si>
    <t>xxx32</t>
  </si>
  <si>
    <t>xxx33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</si>
</sst>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3" borderId="3" xfId="0" applyFill="1" applyBorder="1"/>
    <xf numFmtId="0" fontId="0" fillId="4" borderId="3" xfId="0" applyFill="1" applyBorder="1"/>
    <xf numFmtId="0" fontId="0" fillId="0" borderId="5" xfId="0" applyBorder="1"/>
    <xf numFmtId="0" fontId="0" fillId="0" borderId="4" xfId="0" applyBorder="1"/>
    <xf numFmtId="0" fontId="0" fillId="2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12" fontId="0" fillId="2" borderId="1" xfId="0" applyNumberFormat="1" applyFill="1" applyBorder="1" applyAlignment="1">
      <alignment horizontal="center"/>
    </xf>
    <xf numFmtId="12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0" xfId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0</xdr:row>
          <xdr:rowOff>0</xdr:rowOff>
        </xdr:from>
        <xdr:to>
          <xdr:col>16</xdr:col>
          <xdr:colOff>441960</xdr:colOff>
          <xdr:row>1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Region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0</xdr:row>
          <xdr:rowOff>0</xdr:rowOff>
        </xdr:from>
        <xdr:to>
          <xdr:col>15</xdr:col>
          <xdr:colOff>441960</xdr:colOff>
          <xdr:row>1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Clean Region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WELCOME/Downloads/Linked%20Leads%20-%20Updated%20-%20%2014.02.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SheetTest"/>
      <sheetName val="MainSheet (CopyPasteThisSheet)"/>
      <sheetName val="05.01.2024"/>
      <sheetName val="06.01 &amp; 07.01"/>
      <sheetName val="08.01.2024"/>
      <sheetName val="09.01.2024"/>
      <sheetName val="10.01.2024"/>
      <sheetName val="11.01.2024"/>
      <sheetName val="12.01,13.01,14.01"/>
      <sheetName val="15.01.2024"/>
      <sheetName val="16.01.2024"/>
      <sheetName val="17.01.2024"/>
      <sheetName val="18.01.2024"/>
      <sheetName val="19.01.2024"/>
      <sheetName val="20.01 &amp; 21.01.2024"/>
      <sheetName val="22.01.2024"/>
      <sheetName val="23.01.2024"/>
      <sheetName val="24-27.01.2024"/>
      <sheetName val="28.01.2024"/>
      <sheetName val="29.01.2024"/>
      <sheetName val="30.01.2024"/>
      <sheetName val="31.01.2024"/>
      <sheetName val="Feb'24"/>
      <sheetName val="01.02.2024"/>
      <sheetName val="02.02.2024"/>
      <sheetName val="03&amp;04.02.2024"/>
      <sheetName val="05.02.2024"/>
      <sheetName val="06.02.2024"/>
      <sheetName val="07.02.2024"/>
      <sheetName val="08.02.2024"/>
      <sheetName val="09-11.02.2024"/>
      <sheetName val="12.02.2024"/>
      <sheetName val="13.02.2024"/>
      <sheetName val="14.02.2024"/>
      <sheetName val="MainSheet (2)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A1" t="str">
            <v>Alfiya K S Ahammed</v>
          </cell>
        </row>
        <row r="2">
          <cell r="A2" t="str">
            <v>Alphonsa Remya</v>
          </cell>
        </row>
        <row r="3">
          <cell r="A3" t="str">
            <v>Arul Balamurugan</v>
          </cell>
        </row>
        <row r="4">
          <cell r="A4" t="str">
            <v>Aswathi S Nair</v>
          </cell>
        </row>
        <row r="5">
          <cell r="A5" t="str">
            <v>Bhuvan P</v>
          </cell>
        </row>
        <row r="6">
          <cell r="A6" t="str">
            <v>Gifty Jain</v>
          </cell>
        </row>
        <row r="7">
          <cell r="A7" t="str">
            <v>Kokila V</v>
          </cell>
        </row>
        <row r="8">
          <cell r="A8" t="str">
            <v>Krishnamoorthy M</v>
          </cell>
        </row>
        <row r="9">
          <cell r="A9" t="str">
            <v>Mohammad Ashquar</v>
          </cell>
        </row>
        <row r="10">
          <cell r="A10" t="str">
            <v>Neha Mahto</v>
          </cell>
        </row>
        <row r="11">
          <cell r="A11" t="str">
            <v>Poulamee Roy</v>
          </cell>
        </row>
        <row r="12">
          <cell r="A12" t="str">
            <v>Rimna P</v>
          </cell>
        </row>
        <row r="13">
          <cell r="A13" t="str">
            <v>Prabavathy</v>
          </cell>
        </row>
        <row r="14">
          <cell r="A14" t="str">
            <v>Rina Dutta</v>
          </cell>
        </row>
        <row r="15">
          <cell r="A15" t="str">
            <v>Sadia Bano</v>
          </cell>
        </row>
        <row r="16">
          <cell r="A16" t="str">
            <v>Sanika D</v>
          </cell>
        </row>
        <row r="17">
          <cell r="A17" t="str">
            <v>Saurabh Gupta</v>
          </cell>
        </row>
        <row r="18">
          <cell r="A18" t="str">
            <v>Summaiya Fatima</v>
          </cell>
        </row>
        <row r="19">
          <cell r="A19" t="str">
            <v>Swarnali Das</v>
          </cell>
        </row>
        <row r="20">
          <cell r="A20" t="str">
            <v>Sahar</v>
          </cell>
        </row>
        <row r="21">
          <cell r="A21" t="str">
            <v>Umayal</v>
          </cell>
        </row>
        <row r="22">
          <cell r="A22" t="str">
            <v>Priya</v>
          </cell>
        </row>
      </sheetData>
      <sheetData sheetId="36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mailto:xx1@gmal.com" TargetMode="External"/><Relationship Id="rId18" Type="http://schemas.openxmlformats.org/officeDocument/2006/relationships/hyperlink" Target="mailto:xx2@gmail.com" TargetMode="External"/><Relationship Id="rId26" Type="http://schemas.openxmlformats.org/officeDocument/2006/relationships/hyperlink" Target="mailto:xx2@gmail.com" TargetMode="External"/><Relationship Id="rId21" Type="http://schemas.openxmlformats.org/officeDocument/2006/relationships/hyperlink" Target="mailto:xx2@gmail.com" TargetMode="External"/><Relationship Id="rId34" Type="http://schemas.openxmlformats.org/officeDocument/2006/relationships/printerSettings" Target="../printerSettings/printerSettings1.bin"/><Relationship Id="rId7" Type="http://schemas.openxmlformats.org/officeDocument/2006/relationships/hyperlink" Target="mailto:xx1@gmal.com" TargetMode="External"/><Relationship Id="rId12" Type="http://schemas.openxmlformats.org/officeDocument/2006/relationships/hyperlink" Target="mailto:xx1@gmal.com" TargetMode="External"/><Relationship Id="rId17" Type="http://schemas.openxmlformats.org/officeDocument/2006/relationships/hyperlink" Target="mailto:xx1@gmal.com" TargetMode="External"/><Relationship Id="rId25" Type="http://schemas.openxmlformats.org/officeDocument/2006/relationships/hyperlink" Target="mailto:xx2@gmail.com" TargetMode="External"/><Relationship Id="rId33" Type="http://schemas.openxmlformats.org/officeDocument/2006/relationships/hyperlink" Target="mailto:xx2@gmail.com" TargetMode="External"/><Relationship Id="rId2" Type="http://schemas.openxmlformats.org/officeDocument/2006/relationships/hyperlink" Target="mailto:xx2@gmail.com" TargetMode="External"/><Relationship Id="rId16" Type="http://schemas.openxmlformats.org/officeDocument/2006/relationships/hyperlink" Target="mailto:xx1@gmal.com" TargetMode="External"/><Relationship Id="rId20" Type="http://schemas.openxmlformats.org/officeDocument/2006/relationships/hyperlink" Target="mailto:xx2@gmail.com" TargetMode="External"/><Relationship Id="rId29" Type="http://schemas.openxmlformats.org/officeDocument/2006/relationships/hyperlink" Target="mailto:xx2@gmail.com" TargetMode="External"/><Relationship Id="rId1" Type="http://schemas.openxmlformats.org/officeDocument/2006/relationships/hyperlink" Target="mailto:xx1@gmal.com" TargetMode="External"/><Relationship Id="rId6" Type="http://schemas.openxmlformats.org/officeDocument/2006/relationships/hyperlink" Target="mailto:xx1@gmal.com" TargetMode="External"/><Relationship Id="rId11" Type="http://schemas.openxmlformats.org/officeDocument/2006/relationships/hyperlink" Target="mailto:xx1@gmal.com" TargetMode="External"/><Relationship Id="rId24" Type="http://schemas.openxmlformats.org/officeDocument/2006/relationships/hyperlink" Target="mailto:xx2@gmail.com" TargetMode="External"/><Relationship Id="rId32" Type="http://schemas.openxmlformats.org/officeDocument/2006/relationships/hyperlink" Target="mailto:xx2@gmail.com" TargetMode="External"/><Relationship Id="rId37" Type="http://schemas.openxmlformats.org/officeDocument/2006/relationships/ctrlProp" Target="../ctrlProps/ctrlProp1.xml"/><Relationship Id="rId5" Type="http://schemas.openxmlformats.org/officeDocument/2006/relationships/hyperlink" Target="mailto:xx1@gmal.com" TargetMode="External"/><Relationship Id="rId15" Type="http://schemas.openxmlformats.org/officeDocument/2006/relationships/hyperlink" Target="mailto:xx1@gmal.com" TargetMode="External"/><Relationship Id="rId23" Type="http://schemas.openxmlformats.org/officeDocument/2006/relationships/hyperlink" Target="mailto:xx2@gmail.com" TargetMode="External"/><Relationship Id="rId28" Type="http://schemas.openxmlformats.org/officeDocument/2006/relationships/hyperlink" Target="mailto:xx2@gmail.com" TargetMode="External"/><Relationship Id="rId36" Type="http://schemas.openxmlformats.org/officeDocument/2006/relationships/vmlDrawing" Target="../drawings/vmlDrawing1.vml"/><Relationship Id="rId10" Type="http://schemas.openxmlformats.org/officeDocument/2006/relationships/hyperlink" Target="mailto:xx1@gmal.com" TargetMode="External"/><Relationship Id="rId19" Type="http://schemas.openxmlformats.org/officeDocument/2006/relationships/hyperlink" Target="mailto:xx2@gmail.com" TargetMode="External"/><Relationship Id="rId31" Type="http://schemas.openxmlformats.org/officeDocument/2006/relationships/hyperlink" Target="mailto:xx2@gmail.com" TargetMode="External"/><Relationship Id="rId4" Type="http://schemas.openxmlformats.org/officeDocument/2006/relationships/hyperlink" Target="mailto:xx1@gmal.com" TargetMode="External"/><Relationship Id="rId9" Type="http://schemas.openxmlformats.org/officeDocument/2006/relationships/hyperlink" Target="mailto:xx1@gmal.com" TargetMode="External"/><Relationship Id="rId14" Type="http://schemas.openxmlformats.org/officeDocument/2006/relationships/hyperlink" Target="mailto:xx1@gmal.com" TargetMode="External"/><Relationship Id="rId22" Type="http://schemas.openxmlformats.org/officeDocument/2006/relationships/hyperlink" Target="mailto:xx2@gmail.com" TargetMode="External"/><Relationship Id="rId27" Type="http://schemas.openxmlformats.org/officeDocument/2006/relationships/hyperlink" Target="mailto:xx2@gmail.com" TargetMode="External"/><Relationship Id="rId30" Type="http://schemas.openxmlformats.org/officeDocument/2006/relationships/hyperlink" Target="mailto:xx2@gmail.com" TargetMode="External"/><Relationship Id="rId35" Type="http://schemas.openxmlformats.org/officeDocument/2006/relationships/drawing" Target="../drawings/drawing1.xml"/><Relationship Id="rId8" Type="http://schemas.openxmlformats.org/officeDocument/2006/relationships/hyperlink" Target="mailto:xx1@gmal.com" TargetMode="External"/><Relationship Id="rId3" Type="http://schemas.openxmlformats.org/officeDocument/2006/relationships/hyperlink" Target="mailto:xx1@gma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EA88-AC73-4967-86BC-B9569BB46DFB}">
  <sheetPr codeName="Sheet2"/>
  <dimension ref="A1:X237"/>
  <sheetViews>
    <sheetView workbookViewId="0">
      <selection activeCell="J20" sqref="J20"/>
    </sheetView>
  </sheetViews>
  <sheetFormatPr defaultRowHeight="14.4" x14ac:dyDescent="0.3"/>
  <cols>
    <col min="1" max="1" width="18.109375" bestFit="1" customWidth="1"/>
    <col min="2" max="2" width="33" bestFit="1" customWidth="1"/>
    <col min="23" max="23" width="33.6640625" bestFit="1" customWidth="1"/>
    <col min="24" max="24" width="18.109375" bestFit="1" customWidth="1"/>
  </cols>
  <sheetData>
    <row r="1" spans="1:24" x14ac:dyDescent="0.3">
      <c r="A1" t="s">
        <v>15</v>
      </c>
      <c r="B1" t="s">
        <v>16</v>
      </c>
      <c r="E1" t="s">
        <v>110</v>
      </c>
      <c r="W1" t="s">
        <v>110</v>
      </c>
      <c r="X1" t="s">
        <v>42</v>
      </c>
    </row>
    <row r="2" spans="1:24" x14ac:dyDescent="0.3">
      <c r="A2" t="s">
        <v>17</v>
      </c>
      <c r="B2" t="s">
        <v>18</v>
      </c>
      <c r="E2" t="s">
        <v>111</v>
      </c>
      <c r="W2" t="s">
        <v>110</v>
      </c>
      <c r="X2" t="s">
        <v>356</v>
      </c>
    </row>
    <row r="3" spans="1:24" x14ac:dyDescent="0.3">
      <c r="A3" t="s">
        <v>19</v>
      </c>
      <c r="B3" t="s">
        <v>20</v>
      </c>
      <c r="E3" t="s">
        <v>112</v>
      </c>
      <c r="W3" t="s">
        <v>111</v>
      </c>
      <c r="X3" t="s">
        <v>354</v>
      </c>
    </row>
    <row r="4" spans="1:24" x14ac:dyDescent="0.3">
      <c r="A4" t="s">
        <v>21</v>
      </c>
      <c r="B4" t="s">
        <v>365</v>
      </c>
      <c r="E4" t="s">
        <v>113</v>
      </c>
      <c r="H4" t="s">
        <v>70</v>
      </c>
      <c r="J4" t="s">
        <v>104</v>
      </c>
      <c r="M4" t="s">
        <v>109</v>
      </c>
      <c r="O4" t="s">
        <v>340</v>
      </c>
      <c r="R4" t="s">
        <v>341</v>
      </c>
      <c r="W4" t="s">
        <v>112</v>
      </c>
      <c r="X4" t="s">
        <v>354</v>
      </c>
    </row>
    <row r="5" spans="1:24" x14ac:dyDescent="0.3">
      <c r="A5" t="s">
        <v>22</v>
      </c>
      <c r="B5" t="s">
        <v>23</v>
      </c>
      <c r="E5" t="s">
        <v>114</v>
      </c>
      <c r="W5" t="s">
        <v>113</v>
      </c>
      <c r="X5" t="s">
        <v>28</v>
      </c>
    </row>
    <row r="6" spans="1:24" x14ac:dyDescent="0.3">
      <c r="A6" t="s">
        <v>24</v>
      </c>
      <c r="B6" t="s">
        <v>25</v>
      </c>
      <c r="E6" t="s">
        <v>115</v>
      </c>
      <c r="W6" t="s">
        <v>114</v>
      </c>
      <c r="X6" t="s">
        <v>36</v>
      </c>
    </row>
    <row r="7" spans="1:24" x14ac:dyDescent="0.3">
      <c r="A7" t="s">
        <v>26</v>
      </c>
      <c r="B7" t="s">
        <v>27</v>
      </c>
      <c r="E7" t="s">
        <v>116</v>
      </c>
      <c r="W7" t="s">
        <v>115</v>
      </c>
      <c r="X7" t="s">
        <v>38</v>
      </c>
    </row>
    <row r="8" spans="1:24" x14ac:dyDescent="0.3">
      <c r="A8" t="s">
        <v>28</v>
      </c>
      <c r="B8" t="s">
        <v>29</v>
      </c>
      <c r="E8" t="s">
        <v>117</v>
      </c>
      <c r="H8" t="s">
        <v>50</v>
      </c>
      <c r="J8" t="s">
        <v>71</v>
      </c>
      <c r="M8" t="s">
        <v>105</v>
      </c>
      <c r="O8" t="s">
        <v>110</v>
      </c>
      <c r="R8" t="s">
        <v>342</v>
      </c>
      <c r="W8" t="s">
        <v>116</v>
      </c>
      <c r="X8" t="s">
        <v>30</v>
      </c>
    </row>
    <row r="9" spans="1:24" x14ac:dyDescent="0.3">
      <c r="A9" t="s">
        <v>30</v>
      </c>
      <c r="B9" t="s">
        <v>31</v>
      </c>
      <c r="E9" t="s">
        <v>118</v>
      </c>
      <c r="H9" t="s">
        <v>51</v>
      </c>
      <c r="J9" t="s">
        <v>72</v>
      </c>
      <c r="M9" t="s">
        <v>106</v>
      </c>
      <c r="O9" t="s">
        <v>111</v>
      </c>
      <c r="R9" t="s">
        <v>343</v>
      </c>
      <c r="W9" t="s">
        <v>116</v>
      </c>
      <c r="X9" t="s">
        <v>353</v>
      </c>
    </row>
    <row r="10" spans="1:24" x14ac:dyDescent="0.3">
      <c r="A10" t="s">
        <v>32</v>
      </c>
      <c r="B10" t="s">
        <v>33</v>
      </c>
      <c r="E10" t="s">
        <v>119</v>
      </c>
      <c r="H10" t="s">
        <v>52</v>
      </c>
      <c r="J10" t="s">
        <v>73</v>
      </c>
      <c r="M10" t="s">
        <v>107</v>
      </c>
      <c r="O10" t="s">
        <v>112</v>
      </c>
      <c r="R10" t="s">
        <v>344</v>
      </c>
      <c r="W10" t="s">
        <v>123</v>
      </c>
      <c r="X10" t="s">
        <v>30</v>
      </c>
    </row>
    <row r="11" spans="1:24" x14ac:dyDescent="0.3">
      <c r="A11" t="s">
        <v>34</v>
      </c>
      <c r="B11" t="s">
        <v>35</v>
      </c>
      <c r="E11" t="s">
        <v>120</v>
      </c>
      <c r="H11" t="s">
        <v>53</v>
      </c>
      <c r="J11" t="s">
        <v>74</v>
      </c>
      <c r="M11" t="s">
        <v>108</v>
      </c>
      <c r="O11" t="s">
        <v>113</v>
      </c>
      <c r="R11" t="s">
        <v>345</v>
      </c>
      <c r="W11" t="s">
        <v>123</v>
      </c>
      <c r="X11" t="s">
        <v>353</v>
      </c>
    </row>
    <row r="12" spans="1:24" x14ac:dyDescent="0.3">
      <c r="A12" t="s">
        <v>353</v>
      </c>
      <c r="B12" t="s">
        <v>352</v>
      </c>
      <c r="E12" t="s">
        <v>121</v>
      </c>
      <c r="H12" t="s">
        <v>54</v>
      </c>
      <c r="J12" t="s">
        <v>75</v>
      </c>
      <c r="O12" t="s">
        <v>114</v>
      </c>
      <c r="R12" t="s">
        <v>346</v>
      </c>
      <c r="W12" t="s">
        <v>117</v>
      </c>
      <c r="X12" t="s">
        <v>24</v>
      </c>
    </row>
    <row r="13" spans="1:24" x14ac:dyDescent="0.3">
      <c r="A13" t="s">
        <v>36</v>
      </c>
      <c r="B13" t="s">
        <v>37</v>
      </c>
      <c r="E13" t="s">
        <v>122</v>
      </c>
      <c r="H13" t="s">
        <v>55</v>
      </c>
      <c r="J13" t="s">
        <v>76</v>
      </c>
      <c r="O13" t="s">
        <v>115</v>
      </c>
      <c r="R13" t="s">
        <v>347</v>
      </c>
      <c r="W13" t="s">
        <v>118</v>
      </c>
      <c r="X13" t="s">
        <v>24</v>
      </c>
    </row>
    <row r="14" spans="1:24" x14ac:dyDescent="0.3">
      <c r="A14" t="s">
        <v>38</v>
      </c>
      <c r="B14" t="s">
        <v>39</v>
      </c>
      <c r="E14" t="s">
        <v>123</v>
      </c>
      <c r="H14" t="s">
        <v>56</v>
      </c>
      <c r="J14" t="s">
        <v>77</v>
      </c>
      <c r="O14" t="s">
        <v>116</v>
      </c>
      <c r="R14" t="s">
        <v>348</v>
      </c>
      <c r="W14" t="s">
        <v>119</v>
      </c>
      <c r="X14" t="s">
        <v>354</v>
      </c>
    </row>
    <row r="15" spans="1:24" x14ac:dyDescent="0.3">
      <c r="A15" t="s">
        <v>40</v>
      </c>
      <c r="B15" t="s">
        <v>41</v>
      </c>
      <c r="E15" t="s">
        <v>124</v>
      </c>
      <c r="H15" t="s">
        <v>57</v>
      </c>
      <c r="J15" t="s">
        <v>78</v>
      </c>
      <c r="O15" t="s">
        <v>117</v>
      </c>
      <c r="R15" t="s">
        <v>349</v>
      </c>
      <c r="W15" t="s">
        <v>120</v>
      </c>
      <c r="X15" t="s">
        <v>38</v>
      </c>
    </row>
    <row r="16" spans="1:24" x14ac:dyDescent="0.3">
      <c r="A16" t="s">
        <v>354</v>
      </c>
      <c r="B16" t="s">
        <v>355</v>
      </c>
      <c r="E16" t="s">
        <v>125</v>
      </c>
      <c r="H16" t="s">
        <v>58</v>
      </c>
      <c r="J16" t="s">
        <v>79</v>
      </c>
      <c r="O16" t="s">
        <v>118</v>
      </c>
      <c r="R16" t="s">
        <v>350</v>
      </c>
      <c r="W16" t="s">
        <v>121</v>
      </c>
      <c r="X16" t="s">
        <v>17</v>
      </c>
    </row>
    <row r="17" spans="1:24" x14ac:dyDescent="0.3">
      <c r="A17" t="s">
        <v>42</v>
      </c>
      <c r="B17" t="s">
        <v>43</v>
      </c>
      <c r="E17" t="s">
        <v>126</v>
      </c>
      <c r="H17" t="s">
        <v>59</v>
      </c>
      <c r="J17" t="s">
        <v>80</v>
      </c>
      <c r="O17" t="s">
        <v>119</v>
      </c>
      <c r="R17" t="s">
        <v>351</v>
      </c>
      <c r="W17" t="s">
        <v>121</v>
      </c>
      <c r="X17" t="s">
        <v>357</v>
      </c>
    </row>
    <row r="18" spans="1:24" x14ac:dyDescent="0.3">
      <c r="A18" t="s">
        <v>44</v>
      </c>
      <c r="B18" t="s">
        <v>45</v>
      </c>
      <c r="E18" t="s">
        <v>127</v>
      </c>
      <c r="H18" t="s">
        <v>60</v>
      </c>
      <c r="J18" t="s">
        <v>368</v>
      </c>
      <c r="O18" t="s">
        <v>120</v>
      </c>
      <c r="W18" t="s">
        <v>122</v>
      </c>
      <c r="X18" t="s">
        <v>36</v>
      </c>
    </row>
    <row r="19" spans="1:24" x14ac:dyDescent="0.3">
      <c r="A19" t="s">
        <v>366</v>
      </c>
      <c r="B19" t="s">
        <v>367</v>
      </c>
      <c r="E19" t="s">
        <v>128</v>
      </c>
      <c r="H19" t="s">
        <v>61</v>
      </c>
      <c r="J19" t="s">
        <v>371</v>
      </c>
      <c r="O19" t="s">
        <v>121</v>
      </c>
      <c r="W19" t="s">
        <v>124</v>
      </c>
      <c r="X19" t="s">
        <v>44</v>
      </c>
    </row>
    <row r="20" spans="1:24" x14ac:dyDescent="0.3">
      <c r="A20" t="s">
        <v>369</v>
      </c>
      <c r="B20" t="s">
        <v>370</v>
      </c>
      <c r="E20" t="s">
        <v>129</v>
      </c>
      <c r="H20" t="s">
        <v>62</v>
      </c>
      <c r="J20" t="s">
        <v>81</v>
      </c>
      <c r="O20" t="s">
        <v>122</v>
      </c>
      <c r="W20" t="s">
        <v>125</v>
      </c>
      <c r="X20" t="s">
        <v>44</v>
      </c>
    </row>
    <row r="21" spans="1:24" x14ac:dyDescent="0.3">
      <c r="A21" t="s">
        <v>46</v>
      </c>
      <c r="B21" t="s">
        <v>47</v>
      </c>
      <c r="E21" t="s">
        <v>130</v>
      </c>
      <c r="H21" t="s">
        <v>63</v>
      </c>
      <c r="J21" t="s">
        <v>82</v>
      </c>
      <c r="O21" t="s">
        <v>123</v>
      </c>
      <c r="W21" t="s">
        <v>126</v>
      </c>
      <c r="X21" t="s">
        <v>44</v>
      </c>
    </row>
    <row r="22" spans="1:24" x14ac:dyDescent="0.3">
      <c r="A22" t="s">
        <v>48</v>
      </c>
      <c r="B22" t="s">
        <v>49</v>
      </c>
      <c r="E22" t="s">
        <v>131</v>
      </c>
      <c r="H22" t="s">
        <v>64</v>
      </c>
      <c r="J22" t="s">
        <v>83</v>
      </c>
      <c r="O22" t="s">
        <v>124</v>
      </c>
      <c r="W22" t="s">
        <v>127</v>
      </c>
      <c r="X22" t="s">
        <v>44</v>
      </c>
    </row>
    <row r="23" spans="1:24" x14ac:dyDescent="0.3">
      <c r="E23" t="s">
        <v>132</v>
      </c>
      <c r="H23" t="s">
        <v>65</v>
      </c>
      <c r="J23" t="s">
        <v>84</v>
      </c>
      <c r="O23" t="s">
        <v>125</v>
      </c>
      <c r="W23" t="s">
        <v>128</v>
      </c>
      <c r="X23" t="s">
        <v>354</v>
      </c>
    </row>
    <row r="24" spans="1:24" x14ac:dyDescent="0.3">
      <c r="E24" t="s">
        <v>133</v>
      </c>
      <c r="H24" t="s">
        <v>66</v>
      </c>
      <c r="J24" t="s">
        <v>85</v>
      </c>
      <c r="O24" t="s">
        <v>126</v>
      </c>
      <c r="W24" t="s">
        <v>129</v>
      </c>
      <c r="X24" t="s">
        <v>24</v>
      </c>
    </row>
    <row r="25" spans="1:24" x14ac:dyDescent="0.3">
      <c r="E25" t="s">
        <v>134</v>
      </c>
      <c r="H25" t="s">
        <v>67</v>
      </c>
      <c r="J25" t="s">
        <v>86</v>
      </c>
      <c r="O25" t="s">
        <v>127</v>
      </c>
      <c r="W25" t="s">
        <v>130</v>
      </c>
      <c r="X25" t="s">
        <v>40</v>
      </c>
    </row>
    <row r="26" spans="1:24" x14ac:dyDescent="0.3">
      <c r="E26" t="s">
        <v>135</v>
      </c>
      <c r="H26" t="s">
        <v>68</v>
      </c>
      <c r="J26" t="s">
        <v>87</v>
      </c>
      <c r="O26" t="s">
        <v>128</v>
      </c>
      <c r="W26" t="s">
        <v>131</v>
      </c>
      <c r="X26" t="s">
        <v>40</v>
      </c>
    </row>
    <row r="27" spans="1:24" x14ac:dyDescent="0.3">
      <c r="E27" t="s">
        <v>136</v>
      </c>
      <c r="H27" t="s">
        <v>69</v>
      </c>
      <c r="J27" t="s">
        <v>88</v>
      </c>
      <c r="O27" t="s">
        <v>129</v>
      </c>
      <c r="W27" t="s">
        <v>132</v>
      </c>
      <c r="X27" t="s">
        <v>19</v>
      </c>
    </row>
    <row r="28" spans="1:24" x14ac:dyDescent="0.3">
      <c r="E28" t="s">
        <v>137</v>
      </c>
      <c r="J28" t="s">
        <v>89</v>
      </c>
      <c r="O28" t="s">
        <v>130</v>
      </c>
      <c r="W28" t="s">
        <v>132</v>
      </c>
      <c r="X28" t="s">
        <v>32</v>
      </c>
    </row>
    <row r="29" spans="1:24" x14ac:dyDescent="0.3">
      <c r="E29" t="s">
        <v>138</v>
      </c>
      <c r="J29" t="s">
        <v>364</v>
      </c>
      <c r="O29" t="s">
        <v>131</v>
      </c>
      <c r="W29" t="s">
        <v>133</v>
      </c>
      <c r="X29" t="s">
        <v>42</v>
      </c>
    </row>
    <row r="30" spans="1:24" x14ac:dyDescent="0.3">
      <c r="E30" t="s">
        <v>139</v>
      </c>
      <c r="J30" t="s">
        <v>90</v>
      </c>
      <c r="O30" t="s">
        <v>132</v>
      </c>
      <c r="W30" t="s">
        <v>133</v>
      </c>
      <c r="X30" t="s">
        <v>356</v>
      </c>
    </row>
    <row r="31" spans="1:24" x14ac:dyDescent="0.3">
      <c r="E31" t="s">
        <v>140</v>
      </c>
      <c r="J31" t="s">
        <v>91</v>
      </c>
      <c r="O31" t="s">
        <v>133</v>
      </c>
      <c r="W31" t="s">
        <v>134</v>
      </c>
      <c r="X31" t="s">
        <v>36</v>
      </c>
    </row>
    <row r="32" spans="1:24" x14ac:dyDescent="0.3">
      <c r="E32" t="s">
        <v>141</v>
      </c>
      <c r="J32" t="s">
        <v>92</v>
      </c>
      <c r="O32" t="s">
        <v>134</v>
      </c>
      <c r="W32" t="s">
        <v>135</v>
      </c>
      <c r="X32" t="s">
        <v>40</v>
      </c>
    </row>
    <row r="33" spans="5:24" x14ac:dyDescent="0.3">
      <c r="E33" t="s">
        <v>142</v>
      </c>
      <c r="J33" t="s">
        <v>358</v>
      </c>
      <c r="O33" t="s">
        <v>135</v>
      </c>
      <c r="W33" t="s">
        <v>136</v>
      </c>
      <c r="X33" t="s">
        <v>24</v>
      </c>
    </row>
    <row r="34" spans="5:24" x14ac:dyDescent="0.3">
      <c r="E34" t="s">
        <v>143</v>
      </c>
      <c r="J34" t="s">
        <v>93</v>
      </c>
      <c r="O34" t="s">
        <v>136</v>
      </c>
      <c r="W34" t="s">
        <v>137</v>
      </c>
      <c r="X34" t="s">
        <v>354</v>
      </c>
    </row>
    <row r="35" spans="5:24" x14ac:dyDescent="0.3">
      <c r="E35" t="s">
        <v>144</v>
      </c>
      <c r="J35" t="s">
        <v>361</v>
      </c>
      <c r="O35" t="s">
        <v>137</v>
      </c>
      <c r="W35" t="s">
        <v>138</v>
      </c>
      <c r="X35" t="s">
        <v>36</v>
      </c>
    </row>
    <row r="36" spans="5:24" x14ac:dyDescent="0.3">
      <c r="E36" t="s">
        <v>145</v>
      </c>
      <c r="J36" t="s">
        <v>363</v>
      </c>
      <c r="O36" t="s">
        <v>138</v>
      </c>
      <c r="W36" t="s">
        <v>139</v>
      </c>
      <c r="X36" t="s">
        <v>24</v>
      </c>
    </row>
    <row r="37" spans="5:24" x14ac:dyDescent="0.3">
      <c r="J37" t="s">
        <v>362</v>
      </c>
      <c r="O37" t="s">
        <v>139</v>
      </c>
      <c r="W37" t="s">
        <v>140</v>
      </c>
      <c r="X37" t="s">
        <v>24</v>
      </c>
    </row>
    <row r="38" spans="5:24" x14ac:dyDescent="0.3">
      <c r="J38" t="s">
        <v>94</v>
      </c>
      <c r="O38" t="s">
        <v>140</v>
      </c>
      <c r="W38" t="s">
        <v>141</v>
      </c>
      <c r="X38" t="s">
        <v>40</v>
      </c>
    </row>
    <row r="39" spans="5:24" x14ac:dyDescent="0.3">
      <c r="J39" t="s">
        <v>95</v>
      </c>
      <c r="O39" t="s">
        <v>141</v>
      </c>
      <c r="W39" t="s">
        <v>142</v>
      </c>
      <c r="X39" t="s">
        <v>24</v>
      </c>
    </row>
    <row r="40" spans="5:24" x14ac:dyDescent="0.3">
      <c r="J40" t="s">
        <v>96</v>
      </c>
      <c r="O40" t="s">
        <v>142</v>
      </c>
      <c r="W40" t="s">
        <v>143</v>
      </c>
      <c r="X40" t="s">
        <v>24</v>
      </c>
    </row>
    <row r="41" spans="5:24" x14ac:dyDescent="0.3">
      <c r="J41" t="s">
        <v>97</v>
      </c>
      <c r="O41" t="s">
        <v>143</v>
      </c>
      <c r="W41" t="s">
        <v>144</v>
      </c>
      <c r="X41" t="s">
        <v>19</v>
      </c>
    </row>
    <row r="42" spans="5:24" x14ac:dyDescent="0.3">
      <c r="J42" t="s">
        <v>98</v>
      </c>
      <c r="O42" t="s">
        <v>144</v>
      </c>
      <c r="W42" t="s">
        <v>144</v>
      </c>
      <c r="X42" t="s">
        <v>32</v>
      </c>
    </row>
    <row r="43" spans="5:24" x14ac:dyDescent="0.3">
      <c r="J43" t="s">
        <v>99</v>
      </c>
      <c r="O43" t="s">
        <v>145</v>
      </c>
      <c r="W43" t="s">
        <v>145</v>
      </c>
      <c r="X43" t="s">
        <v>354</v>
      </c>
    </row>
    <row r="44" spans="5:24" x14ac:dyDescent="0.3">
      <c r="J44" t="s">
        <v>100</v>
      </c>
      <c r="O44" t="s">
        <v>146</v>
      </c>
    </row>
    <row r="45" spans="5:24" x14ac:dyDescent="0.3">
      <c r="J45" t="s">
        <v>101</v>
      </c>
      <c r="O45" t="s">
        <v>147</v>
      </c>
    </row>
    <row r="46" spans="5:24" x14ac:dyDescent="0.3">
      <c r="J46" t="s">
        <v>102</v>
      </c>
      <c r="O46" t="s">
        <v>148</v>
      </c>
    </row>
    <row r="47" spans="5:24" x14ac:dyDescent="0.3">
      <c r="J47" t="s">
        <v>103</v>
      </c>
      <c r="O47" t="s">
        <v>149</v>
      </c>
    </row>
    <row r="48" spans="5:24" x14ac:dyDescent="0.3">
      <c r="O48" t="s">
        <v>150</v>
      </c>
    </row>
    <row r="49" spans="15:15" x14ac:dyDescent="0.3">
      <c r="O49" t="s">
        <v>151</v>
      </c>
    </row>
    <row r="50" spans="15:15" x14ac:dyDescent="0.3">
      <c r="O50" t="s">
        <v>152</v>
      </c>
    </row>
    <row r="51" spans="15:15" x14ac:dyDescent="0.3">
      <c r="O51" t="s">
        <v>153</v>
      </c>
    </row>
    <row r="52" spans="15:15" x14ac:dyDescent="0.3">
      <c r="O52" t="s">
        <v>154</v>
      </c>
    </row>
    <row r="53" spans="15:15" x14ac:dyDescent="0.3">
      <c r="O53" t="s">
        <v>155</v>
      </c>
    </row>
    <row r="54" spans="15:15" x14ac:dyDescent="0.3">
      <c r="O54" t="s">
        <v>156</v>
      </c>
    </row>
    <row r="55" spans="15:15" x14ac:dyDescent="0.3">
      <c r="O55" t="s">
        <v>157</v>
      </c>
    </row>
    <row r="56" spans="15:15" x14ac:dyDescent="0.3">
      <c r="O56" t="s">
        <v>158</v>
      </c>
    </row>
    <row r="57" spans="15:15" x14ac:dyDescent="0.3">
      <c r="O57" t="s">
        <v>159</v>
      </c>
    </row>
    <row r="58" spans="15:15" x14ac:dyDescent="0.3">
      <c r="O58" t="s">
        <v>160</v>
      </c>
    </row>
    <row r="59" spans="15:15" x14ac:dyDescent="0.3">
      <c r="O59" t="s">
        <v>161</v>
      </c>
    </row>
    <row r="60" spans="15:15" x14ac:dyDescent="0.3">
      <c r="O60" t="s">
        <v>162</v>
      </c>
    </row>
    <row r="61" spans="15:15" x14ac:dyDescent="0.3">
      <c r="O61" t="s">
        <v>163</v>
      </c>
    </row>
    <row r="62" spans="15:15" x14ac:dyDescent="0.3">
      <c r="O62" t="s">
        <v>164</v>
      </c>
    </row>
    <row r="63" spans="15:15" x14ac:dyDescent="0.3">
      <c r="O63" t="s">
        <v>165</v>
      </c>
    </row>
    <row r="64" spans="15:15" x14ac:dyDescent="0.3">
      <c r="O64" t="s">
        <v>166</v>
      </c>
    </row>
    <row r="65" spans="15:15" x14ac:dyDescent="0.3">
      <c r="O65" t="s">
        <v>167</v>
      </c>
    </row>
    <row r="66" spans="15:15" x14ac:dyDescent="0.3">
      <c r="O66" t="s">
        <v>168</v>
      </c>
    </row>
    <row r="67" spans="15:15" x14ac:dyDescent="0.3">
      <c r="O67" t="s">
        <v>169</v>
      </c>
    </row>
    <row r="68" spans="15:15" x14ac:dyDescent="0.3">
      <c r="O68" t="s">
        <v>170</v>
      </c>
    </row>
    <row r="69" spans="15:15" x14ac:dyDescent="0.3">
      <c r="O69" t="s">
        <v>171</v>
      </c>
    </row>
    <row r="70" spans="15:15" x14ac:dyDescent="0.3">
      <c r="O70" t="s">
        <v>172</v>
      </c>
    </row>
    <row r="71" spans="15:15" x14ac:dyDescent="0.3">
      <c r="O71" t="s">
        <v>173</v>
      </c>
    </row>
    <row r="72" spans="15:15" x14ac:dyDescent="0.3">
      <c r="O72" t="s">
        <v>174</v>
      </c>
    </row>
    <row r="73" spans="15:15" x14ac:dyDescent="0.3">
      <c r="O73" t="s">
        <v>175</v>
      </c>
    </row>
    <row r="74" spans="15:15" x14ac:dyDescent="0.3">
      <c r="O74" t="s">
        <v>176</v>
      </c>
    </row>
    <row r="75" spans="15:15" x14ac:dyDescent="0.3">
      <c r="O75" t="s">
        <v>177</v>
      </c>
    </row>
    <row r="76" spans="15:15" x14ac:dyDescent="0.3">
      <c r="O76" t="s">
        <v>178</v>
      </c>
    </row>
    <row r="77" spans="15:15" x14ac:dyDescent="0.3">
      <c r="O77" t="s">
        <v>179</v>
      </c>
    </row>
    <row r="78" spans="15:15" x14ac:dyDescent="0.3">
      <c r="O78" t="s">
        <v>180</v>
      </c>
    </row>
    <row r="79" spans="15:15" x14ac:dyDescent="0.3">
      <c r="O79" t="s">
        <v>181</v>
      </c>
    </row>
    <row r="80" spans="15:15" x14ac:dyDescent="0.3">
      <c r="O80" t="s">
        <v>182</v>
      </c>
    </row>
    <row r="81" spans="15:15" x14ac:dyDescent="0.3">
      <c r="O81" t="s">
        <v>183</v>
      </c>
    </row>
    <row r="82" spans="15:15" x14ac:dyDescent="0.3">
      <c r="O82" t="s">
        <v>184</v>
      </c>
    </row>
    <row r="83" spans="15:15" x14ac:dyDescent="0.3">
      <c r="O83" t="s">
        <v>185</v>
      </c>
    </row>
    <row r="84" spans="15:15" x14ac:dyDescent="0.3">
      <c r="O84" t="s">
        <v>186</v>
      </c>
    </row>
    <row r="85" spans="15:15" x14ac:dyDescent="0.3">
      <c r="O85" t="s">
        <v>187</v>
      </c>
    </row>
    <row r="86" spans="15:15" x14ac:dyDescent="0.3">
      <c r="O86" t="s">
        <v>188</v>
      </c>
    </row>
    <row r="87" spans="15:15" x14ac:dyDescent="0.3">
      <c r="O87" t="s">
        <v>189</v>
      </c>
    </row>
    <row r="88" spans="15:15" x14ac:dyDescent="0.3">
      <c r="O88" t="s">
        <v>190</v>
      </c>
    </row>
    <row r="89" spans="15:15" x14ac:dyDescent="0.3">
      <c r="O89" t="s">
        <v>191</v>
      </c>
    </row>
    <row r="90" spans="15:15" x14ac:dyDescent="0.3">
      <c r="O90" t="s">
        <v>192</v>
      </c>
    </row>
    <row r="91" spans="15:15" x14ac:dyDescent="0.3">
      <c r="O91" t="s">
        <v>193</v>
      </c>
    </row>
    <row r="92" spans="15:15" x14ac:dyDescent="0.3">
      <c r="O92" t="s">
        <v>194</v>
      </c>
    </row>
    <row r="93" spans="15:15" x14ac:dyDescent="0.3">
      <c r="O93" t="s">
        <v>195</v>
      </c>
    </row>
    <row r="94" spans="15:15" x14ac:dyDescent="0.3">
      <c r="O94" t="s">
        <v>196</v>
      </c>
    </row>
    <row r="95" spans="15:15" x14ac:dyDescent="0.3">
      <c r="O95" t="s">
        <v>197</v>
      </c>
    </row>
    <row r="96" spans="15:15" x14ac:dyDescent="0.3">
      <c r="O96" t="s">
        <v>198</v>
      </c>
    </row>
    <row r="97" spans="15:15" x14ac:dyDescent="0.3">
      <c r="O97" t="s">
        <v>199</v>
      </c>
    </row>
    <row r="98" spans="15:15" x14ac:dyDescent="0.3">
      <c r="O98" t="s">
        <v>200</v>
      </c>
    </row>
    <row r="99" spans="15:15" x14ac:dyDescent="0.3">
      <c r="O99" t="s">
        <v>201</v>
      </c>
    </row>
    <row r="100" spans="15:15" x14ac:dyDescent="0.3">
      <c r="O100" t="s">
        <v>202</v>
      </c>
    </row>
    <row r="101" spans="15:15" x14ac:dyDescent="0.3">
      <c r="O101" t="s">
        <v>203</v>
      </c>
    </row>
    <row r="102" spans="15:15" x14ac:dyDescent="0.3">
      <c r="O102" t="s">
        <v>204</v>
      </c>
    </row>
    <row r="103" spans="15:15" x14ac:dyDescent="0.3">
      <c r="O103" t="s">
        <v>205</v>
      </c>
    </row>
    <row r="104" spans="15:15" x14ac:dyDescent="0.3">
      <c r="O104" t="s">
        <v>206</v>
      </c>
    </row>
    <row r="105" spans="15:15" x14ac:dyDescent="0.3">
      <c r="O105" t="s">
        <v>207</v>
      </c>
    </row>
    <row r="106" spans="15:15" x14ac:dyDescent="0.3">
      <c r="O106" t="s">
        <v>208</v>
      </c>
    </row>
    <row r="107" spans="15:15" x14ac:dyDescent="0.3">
      <c r="O107" t="s">
        <v>209</v>
      </c>
    </row>
    <row r="108" spans="15:15" x14ac:dyDescent="0.3">
      <c r="O108" t="s">
        <v>210</v>
      </c>
    </row>
    <row r="109" spans="15:15" x14ac:dyDescent="0.3">
      <c r="O109" t="s">
        <v>211</v>
      </c>
    </row>
    <row r="110" spans="15:15" x14ac:dyDescent="0.3">
      <c r="O110" t="s">
        <v>212</v>
      </c>
    </row>
    <row r="111" spans="15:15" x14ac:dyDescent="0.3">
      <c r="O111" t="s">
        <v>213</v>
      </c>
    </row>
    <row r="112" spans="15:15" x14ac:dyDescent="0.3">
      <c r="O112" t="s">
        <v>214</v>
      </c>
    </row>
    <row r="113" spans="15:15" x14ac:dyDescent="0.3">
      <c r="O113" t="s">
        <v>215</v>
      </c>
    </row>
    <row r="114" spans="15:15" x14ac:dyDescent="0.3">
      <c r="O114" t="s">
        <v>216</v>
      </c>
    </row>
    <row r="115" spans="15:15" x14ac:dyDescent="0.3">
      <c r="O115" t="s">
        <v>217</v>
      </c>
    </row>
    <row r="116" spans="15:15" x14ac:dyDescent="0.3">
      <c r="O116" t="s">
        <v>218</v>
      </c>
    </row>
    <row r="117" spans="15:15" x14ac:dyDescent="0.3">
      <c r="O117" t="s">
        <v>219</v>
      </c>
    </row>
    <row r="118" spans="15:15" x14ac:dyDescent="0.3">
      <c r="O118" t="s">
        <v>220</v>
      </c>
    </row>
    <row r="119" spans="15:15" x14ac:dyDescent="0.3">
      <c r="O119" t="s">
        <v>221</v>
      </c>
    </row>
    <row r="120" spans="15:15" x14ac:dyDescent="0.3">
      <c r="O120" t="s">
        <v>222</v>
      </c>
    </row>
    <row r="121" spans="15:15" x14ac:dyDescent="0.3">
      <c r="O121" t="s">
        <v>223</v>
      </c>
    </row>
    <row r="122" spans="15:15" x14ac:dyDescent="0.3">
      <c r="O122" t="s">
        <v>224</v>
      </c>
    </row>
    <row r="123" spans="15:15" x14ac:dyDescent="0.3">
      <c r="O123" t="s">
        <v>225</v>
      </c>
    </row>
    <row r="124" spans="15:15" x14ac:dyDescent="0.3">
      <c r="O124" t="s">
        <v>226</v>
      </c>
    </row>
    <row r="125" spans="15:15" x14ac:dyDescent="0.3">
      <c r="O125" t="s">
        <v>227</v>
      </c>
    </row>
    <row r="126" spans="15:15" x14ac:dyDescent="0.3">
      <c r="O126" t="s">
        <v>228</v>
      </c>
    </row>
    <row r="127" spans="15:15" x14ac:dyDescent="0.3">
      <c r="O127" t="s">
        <v>229</v>
      </c>
    </row>
    <row r="128" spans="15:15" x14ac:dyDescent="0.3">
      <c r="O128" t="s">
        <v>230</v>
      </c>
    </row>
    <row r="129" spans="15:15" x14ac:dyDescent="0.3">
      <c r="O129" t="s">
        <v>231</v>
      </c>
    </row>
    <row r="130" spans="15:15" x14ac:dyDescent="0.3">
      <c r="O130" t="s">
        <v>232</v>
      </c>
    </row>
    <row r="131" spans="15:15" x14ac:dyDescent="0.3">
      <c r="O131" t="s">
        <v>233</v>
      </c>
    </row>
    <row r="132" spans="15:15" x14ac:dyDescent="0.3">
      <c r="O132" t="s">
        <v>234</v>
      </c>
    </row>
    <row r="133" spans="15:15" x14ac:dyDescent="0.3">
      <c r="O133" t="s">
        <v>235</v>
      </c>
    </row>
    <row r="134" spans="15:15" x14ac:dyDescent="0.3">
      <c r="O134" t="s">
        <v>236</v>
      </c>
    </row>
    <row r="135" spans="15:15" x14ac:dyDescent="0.3">
      <c r="O135" t="s">
        <v>237</v>
      </c>
    </row>
    <row r="136" spans="15:15" x14ac:dyDescent="0.3">
      <c r="O136" t="s">
        <v>238</v>
      </c>
    </row>
    <row r="137" spans="15:15" x14ac:dyDescent="0.3">
      <c r="O137" t="s">
        <v>239</v>
      </c>
    </row>
    <row r="138" spans="15:15" x14ac:dyDescent="0.3">
      <c r="O138" t="s">
        <v>240</v>
      </c>
    </row>
    <row r="139" spans="15:15" x14ac:dyDescent="0.3">
      <c r="O139" t="s">
        <v>241</v>
      </c>
    </row>
    <row r="140" spans="15:15" x14ac:dyDescent="0.3">
      <c r="O140" t="s">
        <v>242</v>
      </c>
    </row>
    <row r="141" spans="15:15" x14ac:dyDescent="0.3">
      <c r="O141" t="s">
        <v>243</v>
      </c>
    </row>
    <row r="142" spans="15:15" x14ac:dyDescent="0.3">
      <c r="O142" t="s">
        <v>244</v>
      </c>
    </row>
    <row r="143" spans="15:15" x14ac:dyDescent="0.3">
      <c r="O143" t="s">
        <v>245</v>
      </c>
    </row>
    <row r="144" spans="15:15" x14ac:dyDescent="0.3">
      <c r="O144" t="s">
        <v>246</v>
      </c>
    </row>
    <row r="145" spans="15:15" x14ac:dyDescent="0.3">
      <c r="O145" t="s">
        <v>247</v>
      </c>
    </row>
    <row r="146" spans="15:15" x14ac:dyDescent="0.3">
      <c r="O146" t="s">
        <v>248</v>
      </c>
    </row>
    <row r="147" spans="15:15" x14ac:dyDescent="0.3">
      <c r="O147" t="s">
        <v>249</v>
      </c>
    </row>
    <row r="148" spans="15:15" x14ac:dyDescent="0.3">
      <c r="O148" t="s">
        <v>250</v>
      </c>
    </row>
    <row r="149" spans="15:15" x14ac:dyDescent="0.3">
      <c r="O149" t="s">
        <v>251</v>
      </c>
    </row>
    <row r="150" spans="15:15" x14ac:dyDescent="0.3">
      <c r="O150" t="s">
        <v>252</v>
      </c>
    </row>
    <row r="151" spans="15:15" x14ac:dyDescent="0.3">
      <c r="O151" t="s">
        <v>253</v>
      </c>
    </row>
    <row r="152" spans="15:15" x14ac:dyDescent="0.3">
      <c r="O152" t="s">
        <v>254</v>
      </c>
    </row>
    <row r="153" spans="15:15" x14ac:dyDescent="0.3">
      <c r="O153" t="s">
        <v>255</v>
      </c>
    </row>
    <row r="154" spans="15:15" x14ac:dyDescent="0.3">
      <c r="O154" t="s">
        <v>256</v>
      </c>
    </row>
    <row r="155" spans="15:15" x14ac:dyDescent="0.3">
      <c r="O155" t="s">
        <v>257</v>
      </c>
    </row>
    <row r="156" spans="15:15" x14ac:dyDescent="0.3">
      <c r="O156" t="s">
        <v>258</v>
      </c>
    </row>
    <row r="157" spans="15:15" x14ac:dyDescent="0.3">
      <c r="O157" t="s">
        <v>259</v>
      </c>
    </row>
    <row r="158" spans="15:15" x14ac:dyDescent="0.3">
      <c r="O158" t="s">
        <v>260</v>
      </c>
    </row>
    <row r="159" spans="15:15" x14ac:dyDescent="0.3">
      <c r="O159" t="s">
        <v>261</v>
      </c>
    </row>
    <row r="160" spans="15:15" x14ac:dyDescent="0.3">
      <c r="O160" t="s">
        <v>262</v>
      </c>
    </row>
    <row r="161" spans="15:15" x14ac:dyDescent="0.3">
      <c r="O161" t="s">
        <v>263</v>
      </c>
    </row>
    <row r="162" spans="15:15" x14ac:dyDescent="0.3">
      <c r="O162" t="s">
        <v>264</v>
      </c>
    </row>
    <row r="163" spans="15:15" x14ac:dyDescent="0.3">
      <c r="O163" t="s">
        <v>265</v>
      </c>
    </row>
    <row r="164" spans="15:15" x14ac:dyDescent="0.3">
      <c r="O164" t="s">
        <v>266</v>
      </c>
    </row>
    <row r="165" spans="15:15" x14ac:dyDescent="0.3">
      <c r="O165" t="s">
        <v>267</v>
      </c>
    </row>
    <row r="166" spans="15:15" x14ac:dyDescent="0.3">
      <c r="O166" t="s">
        <v>268</v>
      </c>
    </row>
    <row r="167" spans="15:15" x14ac:dyDescent="0.3">
      <c r="O167" t="s">
        <v>269</v>
      </c>
    </row>
    <row r="168" spans="15:15" x14ac:dyDescent="0.3">
      <c r="O168" t="s">
        <v>270</v>
      </c>
    </row>
    <row r="169" spans="15:15" x14ac:dyDescent="0.3">
      <c r="O169" t="s">
        <v>271</v>
      </c>
    </row>
    <row r="170" spans="15:15" x14ac:dyDescent="0.3">
      <c r="O170" t="s">
        <v>272</v>
      </c>
    </row>
    <row r="171" spans="15:15" x14ac:dyDescent="0.3">
      <c r="O171" t="s">
        <v>273</v>
      </c>
    </row>
    <row r="172" spans="15:15" x14ac:dyDescent="0.3">
      <c r="O172" t="s">
        <v>274</v>
      </c>
    </row>
    <row r="173" spans="15:15" x14ac:dyDescent="0.3">
      <c r="O173" t="s">
        <v>275</v>
      </c>
    </row>
    <row r="174" spans="15:15" x14ac:dyDescent="0.3">
      <c r="O174" t="s">
        <v>276</v>
      </c>
    </row>
    <row r="175" spans="15:15" x14ac:dyDescent="0.3">
      <c r="O175" t="s">
        <v>277</v>
      </c>
    </row>
    <row r="176" spans="15:15" x14ac:dyDescent="0.3">
      <c r="O176" t="s">
        <v>278</v>
      </c>
    </row>
    <row r="177" spans="15:15" x14ac:dyDescent="0.3">
      <c r="O177" t="s">
        <v>279</v>
      </c>
    </row>
    <row r="178" spans="15:15" x14ac:dyDescent="0.3">
      <c r="O178" t="s">
        <v>280</v>
      </c>
    </row>
    <row r="179" spans="15:15" x14ac:dyDescent="0.3">
      <c r="O179" t="s">
        <v>281</v>
      </c>
    </row>
    <row r="180" spans="15:15" x14ac:dyDescent="0.3">
      <c r="O180" t="s">
        <v>282</v>
      </c>
    </row>
    <row r="181" spans="15:15" x14ac:dyDescent="0.3">
      <c r="O181" t="s">
        <v>283</v>
      </c>
    </row>
    <row r="182" spans="15:15" x14ac:dyDescent="0.3">
      <c r="O182" t="s">
        <v>284</v>
      </c>
    </row>
    <row r="183" spans="15:15" x14ac:dyDescent="0.3">
      <c r="O183" t="s">
        <v>285</v>
      </c>
    </row>
    <row r="184" spans="15:15" x14ac:dyDescent="0.3">
      <c r="O184" t="s">
        <v>286</v>
      </c>
    </row>
    <row r="185" spans="15:15" x14ac:dyDescent="0.3">
      <c r="O185" t="s">
        <v>287</v>
      </c>
    </row>
    <row r="186" spans="15:15" x14ac:dyDescent="0.3">
      <c r="O186" t="s">
        <v>288</v>
      </c>
    </row>
    <row r="187" spans="15:15" x14ac:dyDescent="0.3">
      <c r="O187" t="s">
        <v>289</v>
      </c>
    </row>
    <row r="188" spans="15:15" x14ac:dyDescent="0.3">
      <c r="O188" t="s">
        <v>290</v>
      </c>
    </row>
    <row r="189" spans="15:15" x14ac:dyDescent="0.3">
      <c r="O189" t="s">
        <v>291</v>
      </c>
    </row>
    <row r="190" spans="15:15" x14ac:dyDescent="0.3">
      <c r="O190" t="s">
        <v>292</v>
      </c>
    </row>
    <row r="191" spans="15:15" x14ac:dyDescent="0.3">
      <c r="O191" t="s">
        <v>293</v>
      </c>
    </row>
    <row r="192" spans="15:15" x14ac:dyDescent="0.3">
      <c r="O192" t="s">
        <v>294</v>
      </c>
    </row>
    <row r="193" spans="15:15" x14ac:dyDescent="0.3">
      <c r="O193" t="s">
        <v>295</v>
      </c>
    </row>
    <row r="194" spans="15:15" x14ac:dyDescent="0.3">
      <c r="O194" t="s">
        <v>296</v>
      </c>
    </row>
    <row r="195" spans="15:15" x14ac:dyDescent="0.3">
      <c r="O195" t="s">
        <v>297</v>
      </c>
    </row>
    <row r="196" spans="15:15" x14ac:dyDescent="0.3">
      <c r="O196" t="s">
        <v>298</v>
      </c>
    </row>
    <row r="197" spans="15:15" x14ac:dyDescent="0.3">
      <c r="O197" t="s">
        <v>299</v>
      </c>
    </row>
    <row r="198" spans="15:15" x14ac:dyDescent="0.3">
      <c r="O198" t="s">
        <v>300</v>
      </c>
    </row>
    <row r="199" spans="15:15" x14ac:dyDescent="0.3">
      <c r="O199" t="s">
        <v>301</v>
      </c>
    </row>
    <row r="200" spans="15:15" x14ac:dyDescent="0.3">
      <c r="O200" t="s">
        <v>302</v>
      </c>
    </row>
    <row r="201" spans="15:15" x14ac:dyDescent="0.3">
      <c r="O201" t="s">
        <v>303</v>
      </c>
    </row>
    <row r="202" spans="15:15" x14ac:dyDescent="0.3">
      <c r="O202" t="s">
        <v>304</v>
      </c>
    </row>
    <row r="203" spans="15:15" x14ac:dyDescent="0.3">
      <c r="O203" t="s">
        <v>305</v>
      </c>
    </row>
    <row r="204" spans="15:15" x14ac:dyDescent="0.3">
      <c r="O204" t="s">
        <v>306</v>
      </c>
    </row>
    <row r="205" spans="15:15" x14ac:dyDescent="0.3">
      <c r="O205" t="s">
        <v>307</v>
      </c>
    </row>
    <row r="206" spans="15:15" x14ac:dyDescent="0.3">
      <c r="O206" t="s">
        <v>308</v>
      </c>
    </row>
    <row r="207" spans="15:15" x14ac:dyDescent="0.3">
      <c r="O207" t="s">
        <v>309</v>
      </c>
    </row>
    <row r="208" spans="15:15" x14ac:dyDescent="0.3">
      <c r="O208" t="s">
        <v>310</v>
      </c>
    </row>
    <row r="209" spans="15:15" x14ac:dyDescent="0.3">
      <c r="O209" t="s">
        <v>311</v>
      </c>
    </row>
    <row r="210" spans="15:15" x14ac:dyDescent="0.3">
      <c r="O210" t="s">
        <v>312</v>
      </c>
    </row>
    <row r="211" spans="15:15" x14ac:dyDescent="0.3">
      <c r="O211" t="s">
        <v>313</v>
      </c>
    </row>
    <row r="212" spans="15:15" x14ac:dyDescent="0.3">
      <c r="O212" t="s">
        <v>314</v>
      </c>
    </row>
    <row r="213" spans="15:15" x14ac:dyDescent="0.3">
      <c r="O213" t="s">
        <v>315</v>
      </c>
    </row>
    <row r="214" spans="15:15" x14ac:dyDescent="0.3">
      <c r="O214" t="s">
        <v>316</v>
      </c>
    </row>
    <row r="215" spans="15:15" x14ac:dyDescent="0.3">
      <c r="O215" t="s">
        <v>317</v>
      </c>
    </row>
    <row r="216" spans="15:15" x14ac:dyDescent="0.3">
      <c r="O216" t="s">
        <v>318</v>
      </c>
    </row>
    <row r="217" spans="15:15" x14ac:dyDescent="0.3">
      <c r="O217" t="s">
        <v>319</v>
      </c>
    </row>
    <row r="218" spans="15:15" x14ac:dyDescent="0.3">
      <c r="O218" t="s">
        <v>320</v>
      </c>
    </row>
    <row r="219" spans="15:15" x14ac:dyDescent="0.3">
      <c r="O219" t="s">
        <v>321</v>
      </c>
    </row>
    <row r="220" spans="15:15" x14ac:dyDescent="0.3">
      <c r="O220" t="s">
        <v>322</v>
      </c>
    </row>
    <row r="221" spans="15:15" x14ac:dyDescent="0.3">
      <c r="O221" t="s">
        <v>323</v>
      </c>
    </row>
    <row r="222" spans="15:15" x14ac:dyDescent="0.3">
      <c r="O222" t="s">
        <v>324</v>
      </c>
    </row>
    <row r="223" spans="15:15" x14ac:dyDescent="0.3">
      <c r="O223" t="s">
        <v>325</v>
      </c>
    </row>
    <row r="224" spans="15:15" x14ac:dyDescent="0.3">
      <c r="O224" t="s">
        <v>326</v>
      </c>
    </row>
    <row r="225" spans="15:15" x14ac:dyDescent="0.3">
      <c r="O225" t="s">
        <v>327</v>
      </c>
    </row>
    <row r="226" spans="15:15" x14ac:dyDescent="0.3">
      <c r="O226" t="s">
        <v>328</v>
      </c>
    </row>
    <row r="227" spans="15:15" x14ac:dyDescent="0.3">
      <c r="O227" t="s">
        <v>329</v>
      </c>
    </row>
    <row r="228" spans="15:15" x14ac:dyDescent="0.3">
      <c r="O228" t="s">
        <v>330</v>
      </c>
    </row>
    <row r="229" spans="15:15" x14ac:dyDescent="0.3">
      <c r="O229" t="s">
        <v>331</v>
      </c>
    </row>
    <row r="230" spans="15:15" x14ac:dyDescent="0.3">
      <c r="O230" t="s">
        <v>332</v>
      </c>
    </row>
    <row r="231" spans="15:15" x14ac:dyDescent="0.3">
      <c r="O231" t="s">
        <v>333</v>
      </c>
    </row>
    <row r="232" spans="15:15" x14ac:dyDescent="0.3">
      <c r="O232" t="s">
        <v>334</v>
      </c>
    </row>
    <row r="233" spans="15:15" x14ac:dyDescent="0.3">
      <c r="O233" t="s">
        <v>335</v>
      </c>
    </row>
    <row r="234" spans="15:15" x14ac:dyDescent="0.3">
      <c r="O234" t="s">
        <v>336</v>
      </c>
    </row>
    <row r="235" spans="15:15" x14ac:dyDescent="0.3">
      <c r="O235" t="s">
        <v>337</v>
      </c>
    </row>
    <row r="236" spans="15:15" x14ac:dyDescent="0.3">
      <c r="O236" t="s">
        <v>338</v>
      </c>
    </row>
    <row r="237" spans="15:15" x14ac:dyDescent="0.3">
      <c r="O237" t="s">
        <v>339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BA5BD-C2D6-44C3-BD49-4B7EFAA5C650}">
  <sheetPr codeName="Sheet4"/>
  <dimension ref="A1:R35"/>
  <sheetViews>
    <sheetView tabSelected="1" topLeftCell="D1" zoomScale="70" zoomScaleNormal="70" workbookViewId="0">
      <selection activeCell="K8" sqref="K8"/>
    </sheetView>
  </sheetViews>
  <sheetFormatPr defaultRowHeight="14.4" x14ac:dyDescent="0.3"/>
  <cols>
    <col min="1" max="1" width="19.109375" style="10" bestFit="1" customWidth="1"/>
    <col min="2" max="2" width="30.44140625" style="10" bestFit="1" customWidth="1"/>
    <col min="3" max="3" width="20.109375" style="16" bestFit="1" customWidth="1"/>
    <col min="4" max="4" width="24" style="10" bestFit="1" customWidth="1"/>
    <col min="5" max="5" width="12.5546875" style="10" bestFit="1" customWidth="1"/>
    <col min="6" max="6" width="33.33203125" style="10" bestFit="1" customWidth="1"/>
    <col min="7" max="7" width="20" style="10" bestFit="1" customWidth="1"/>
    <col min="8" max="8" width="19.5546875" style="10" bestFit="1" customWidth="1"/>
    <col min="9" max="9" width="31.33203125" style="10" bestFit="1" customWidth="1"/>
    <col min="10" max="10" width="23" style="10" bestFit="1" customWidth="1"/>
    <col min="11" max="11" width="35.109375" style="10" bestFit="1" customWidth="1"/>
    <col min="12" max="12" width="19.33203125" style="10" bestFit="1" customWidth="1"/>
    <col min="13" max="13" width="34.5546875" style="10" bestFit="1" customWidth="1"/>
    <col min="14" max="14" width="30.88671875" style="10" bestFit="1" customWidth="1"/>
    <col min="15" max="15" width="23.5546875" style="10" bestFit="1" customWidth="1"/>
    <col min="16" max="16" width="13.33203125" customWidth="1"/>
  </cols>
  <sheetData>
    <row r="1" spans="1:18" x14ac:dyDescent="0.3">
      <c r="A1" s="7" t="s">
        <v>0</v>
      </c>
      <c r="B1" s="7" t="s">
        <v>1</v>
      </c>
      <c r="C1" s="15" t="s">
        <v>2</v>
      </c>
      <c r="D1" s="7" t="s">
        <v>3</v>
      </c>
      <c r="E1" s="17" t="s">
        <v>4</v>
      </c>
      <c r="F1" s="7" t="s">
        <v>5</v>
      </c>
      <c r="G1" s="11" t="s">
        <v>6</v>
      </c>
      <c r="H1" s="8" t="s">
        <v>7</v>
      </c>
      <c r="I1" s="8" t="s">
        <v>8</v>
      </c>
      <c r="J1" s="7" t="s">
        <v>9</v>
      </c>
      <c r="K1" s="12" t="s">
        <v>10</v>
      </c>
      <c r="L1" s="14" t="s">
        <v>11</v>
      </c>
      <c r="M1" s="14" t="s">
        <v>12</v>
      </c>
      <c r="N1" s="14" t="s">
        <v>360</v>
      </c>
      <c r="O1" s="13" t="s">
        <v>359</v>
      </c>
    </row>
    <row r="2" spans="1:18" x14ac:dyDescent="0.3">
      <c r="A2" s="20" t="s">
        <v>14</v>
      </c>
      <c r="B2" s="21"/>
      <c r="C2" s="21"/>
      <c r="D2" s="21"/>
      <c r="E2" s="9"/>
      <c r="F2" s="9"/>
      <c r="G2" s="9"/>
      <c r="H2" s="10" t="str" cm="1">
        <f t="array" ref="H2">IF(G2="Tamil Nadu",IF(MOD(SUMPRODUCT(--($G$2:G2="Tamil Nadu")),2)=1,"Arul Balamurugan","Rimna P"),
IF(G2="Kerala",IF(MOD(SUMPRODUCT(--($G$2:G2="Kerala")),2)=1,"Alfiya K S Ahammed","Alphonsa Remya"),
IF(G2="Bihar","Mohammad Ashquar",
IF(G2="Maharashtra",IF(MOD(SUMPRODUCT(--($G$2:G2="Maharashtra")),2)=1,"Reshma Diwakar","Neha Mahto"),
IF(G2="Gujarat",IF(MOD(SUMPRODUCT(--($G$2:G2="Gujarat")),2)=1,"Neha Mahto","Reshma Diwakar"),
IF(G2="Jharkhand","Swarnali Das",
IF(G2="Meghalaya","Swarnali Das",
IF(G2="Manipur","Swarnali Das",
IF(G2="Mizoram","Swarnali Das",
IF(G2="Nagaland","Swarnali Das",
IF(G2="West Bengal","Swarnali Das",
IF(G2="Puducherry",IF(MOD(SUMPRODUCT(--($G$2:G2="Puducherry")),2)=1,"Rimna P","Arul Balamurugan"),
IF(G2="Karnataka","Sadia Bano",
IF(G2="Goa","Sadia Bano",
IF(G2="Haryana","Gifty Jain",
IF(G2="Punjab","Gifty Jain",
IF(G2="Himachal Pradesh","Gifty Jain",
IF(G2="Jammu and Kashmir","Gifty Jain",
IF(G2="Lakshadweep","Gifty Jain",
IF(G2="Chandigarh","Gifty Jain",
IF(G2="Dadra &amp; Nagar Haveli and Daman &amp; Diu","Gifty Jain",
IF(G2="Uttarakhand","Gifty Jain",
IF(G2="Odisha",IF(MOD(SUMPRODUCT(--($G$2:G2="Odisha")),2)=1,"Swarnali Das","Rina Dutta"),
IF(G2="Ladakh",IF(MOD(SUMPRODUCT(--($G$2:G2="Ladakh")),2)=1,"Rina Dutta","Swarnali Das"),
IF(G2="Assam",IF(MOD(SUMPRODUCT(--($G$2:G2="Assam")),2)=1,"Swarnali Das","Rina Dutta"),
IF(G2="Arunachal Pradesh",IF(MOD(SUMPRODUCT(--($G$2:G2="Arunachal Pradesh")),2)=1,"Rina Dutta","Swarnali Das"),
IF(G2="Andhra Pradesh",IF(MOD(SUMPRODUCT(--($G$2:G2="Telangana")),2)=1,"Bhuvan P","Summaiya Fatima"),
IF(G2="Telangana",IF(MOD(SUMPRODUCT(--($G$2:G2="Telangana")),2)=1,"Summaiya Fatima","Bhuvan P"),
IF(G2="Madhya Pradesh","Rina Dutta",
IF(G2="Chhattisgarh","Rina Dutta",
IF(G2="Tripura","Rina Dutta",
IF(G2="Andaman and Nicobar Islands","Rina Dutta",
IF(G2="Uttar Pradesh","Saurabh Gupta",
IF(G2="Sikkim","Saurabh Gupta",
IF(G2="Rajasthan","Saurabh Gupta",
IF(G2="Delhi","Saurabh Gupta",""
))))))))))))))))))))))))))))))))))))</f>
        <v/>
      </c>
      <c r="I2" s="9" t="str">
        <f>IFERROR(VLOOKUP(H2,List!A:B, 2, FALSE), "")</f>
        <v/>
      </c>
      <c r="J2" s="9"/>
      <c r="K2" s="9" t="str">
        <f>SUBSTITUTE(SUBSTITUTE(SUBSTITUTE(SUBSTITUTE(C2,"-",""),"+",""),"p:","")," ","")</f>
        <v/>
      </c>
      <c r="L2" s="9" t="str">
        <f>K2</f>
        <v/>
      </c>
      <c r="M2" s="9" t="str">
        <f>IF(LEFT(L2, 2) = "91", RIGHT(L2, LEN(L2) - 2),
 IF(LEFT(L2, 3) = "971", RIGHT(L2, LEN(L2) - 3),
  IF(LEFT(L2, 2) = "92", RIGHT(L2, LEN(L2) - 2),
   IF(LEFT(L2, 3) = "974", RIGHT(L2, LEN(L2) - 3),
    IF(LEFT(L2, 2) = "60", RIGHT(L2, LEN(L2) - 2),
     IF(LEFT(L2, 2) = "65", RIGHT(L2, LEN(L2) - 2),
      IF(LEFT(L2, 3) = "966", RIGHT(L2, LEN(L2) - 3),
       IF(LEFT(L2, 3) = "967", RIGHT(L2, LEN(L2) - 3),
        IF(LEFT(L2, 3) = "968", RIGHT(L2, LEN(L2) - 3),
         IF(LEFT(L2, 3) = "249", RIGHT(L2, LEN(L2) - 3),
          IF(LEFT(L2, 3) = "213", RIGHT(L2, LEN(L2) - 3),
           IF(LEFT(L2, 3) = "965", RIGHT(L2, LEN(L2) - 3),
            IF(LEFT(L2, 3) = "1", RIGHT(L2, LEN(L2) - 1),
             IF(LEFT(L2, 3) = "973", RIGHT(L2, LEN(L2) - 3),
              IF(LEFT(L2, 3) = "233", RIGHT(L2, LEN(L2) - 3),
               IF(LEFT(L2, 3) = "977", RIGHT(L2, LEN(L2) - 3),
                IF(LEFT(L2, 2) = "20", RIGHT(L2, LEN(L2) - 2),
                 L2
                )
               )
              )
             )
            )
           )
          )
         )
        )
       )
      )
     )
    )
   )
  )
 )
)</f>
        <v/>
      </c>
      <c r="N2" s="9" t="str">
        <f>LOWER(B2)</f>
        <v/>
      </c>
      <c r="O2" s="18" t="str">
        <f>PROPER(A2)</f>
        <v>Ignore This Row</v>
      </c>
    </row>
    <row r="3" spans="1:18" x14ac:dyDescent="0.3">
      <c r="A3" s="10" t="s">
        <v>402</v>
      </c>
      <c r="B3" s="19" t="s">
        <v>404</v>
      </c>
      <c r="C3" s="16">
        <v>101</v>
      </c>
      <c r="E3" s="10" t="s">
        <v>66</v>
      </c>
      <c r="F3" s="10" t="s">
        <v>372</v>
      </c>
      <c r="J3" s="10" t="s">
        <v>373</v>
      </c>
      <c r="R3" t="s">
        <v>329</v>
      </c>
    </row>
    <row r="4" spans="1:18" x14ac:dyDescent="0.3">
      <c r="A4" s="10" t="s">
        <v>403</v>
      </c>
      <c r="B4" s="19" t="s">
        <v>405</v>
      </c>
      <c r="C4" s="16">
        <v>102</v>
      </c>
      <c r="E4" s="10" t="s">
        <v>66</v>
      </c>
      <c r="F4" s="10" t="s">
        <v>83</v>
      </c>
      <c r="J4" s="10" t="s">
        <v>374</v>
      </c>
      <c r="R4" t="s">
        <v>121</v>
      </c>
    </row>
    <row r="5" spans="1:18" x14ac:dyDescent="0.3">
      <c r="A5" s="10" t="s">
        <v>406</v>
      </c>
      <c r="B5" s="19" t="s">
        <v>404</v>
      </c>
      <c r="C5" s="16">
        <v>103</v>
      </c>
      <c r="E5" s="10" t="s">
        <v>66</v>
      </c>
      <c r="F5" s="10" t="s">
        <v>375</v>
      </c>
      <c r="J5" s="10" t="s">
        <v>376</v>
      </c>
      <c r="R5" t="s">
        <v>113</v>
      </c>
    </row>
    <row r="6" spans="1:18" x14ac:dyDescent="0.3">
      <c r="A6" s="10" t="s">
        <v>407</v>
      </c>
      <c r="B6" s="19" t="s">
        <v>405</v>
      </c>
      <c r="C6" s="16">
        <v>104</v>
      </c>
      <c r="E6" s="10" t="s">
        <v>66</v>
      </c>
      <c r="F6" s="10" t="s">
        <v>375</v>
      </c>
      <c r="J6" s="10" t="s">
        <v>377</v>
      </c>
      <c r="R6" t="s">
        <v>114</v>
      </c>
    </row>
    <row r="7" spans="1:18" x14ac:dyDescent="0.3">
      <c r="A7" s="10" t="s">
        <v>408</v>
      </c>
      <c r="B7" s="19" t="s">
        <v>404</v>
      </c>
      <c r="C7" s="16">
        <v>105</v>
      </c>
      <c r="E7" s="10" t="s">
        <v>66</v>
      </c>
      <c r="F7" s="10" t="s">
        <v>375</v>
      </c>
      <c r="J7" s="10" t="s">
        <v>378</v>
      </c>
      <c r="R7" t="s">
        <v>130</v>
      </c>
    </row>
    <row r="8" spans="1:18" x14ac:dyDescent="0.3">
      <c r="A8" s="10" t="s">
        <v>409</v>
      </c>
      <c r="B8" s="19" t="s">
        <v>405</v>
      </c>
      <c r="C8" s="16">
        <v>106</v>
      </c>
      <c r="E8" s="10" t="s">
        <v>66</v>
      </c>
      <c r="F8" s="10" t="s">
        <v>372</v>
      </c>
      <c r="J8" s="10" t="s">
        <v>293</v>
      </c>
      <c r="R8" t="s">
        <v>293</v>
      </c>
    </row>
    <row r="9" spans="1:18" x14ac:dyDescent="0.3">
      <c r="A9" s="10" t="s">
        <v>410</v>
      </c>
      <c r="B9" s="19" t="s">
        <v>404</v>
      </c>
      <c r="C9" s="16">
        <v>107</v>
      </c>
      <c r="E9" s="10" t="s">
        <v>66</v>
      </c>
      <c r="F9" s="10" t="s">
        <v>372</v>
      </c>
      <c r="J9" s="10" t="s">
        <v>379</v>
      </c>
      <c r="R9" t="s">
        <v>133</v>
      </c>
    </row>
    <row r="10" spans="1:18" x14ac:dyDescent="0.3">
      <c r="A10" s="10" t="s">
        <v>411</v>
      </c>
      <c r="B10" s="19" t="s">
        <v>405</v>
      </c>
      <c r="C10" s="16">
        <v>108</v>
      </c>
      <c r="E10" s="10" t="s">
        <v>66</v>
      </c>
      <c r="F10" s="10" t="s">
        <v>372</v>
      </c>
      <c r="J10" s="10" t="s">
        <v>380</v>
      </c>
      <c r="R10" t="s">
        <v>274</v>
      </c>
    </row>
    <row r="11" spans="1:18" x14ac:dyDescent="0.3">
      <c r="A11" s="10" t="s">
        <v>412</v>
      </c>
      <c r="B11" s="19" t="s">
        <v>404</v>
      </c>
      <c r="C11" s="16">
        <v>109</v>
      </c>
      <c r="E11" s="10" t="s">
        <v>66</v>
      </c>
      <c r="F11" s="10" t="s">
        <v>372</v>
      </c>
      <c r="J11" s="10" t="s">
        <v>373</v>
      </c>
      <c r="R11" t="s">
        <v>329</v>
      </c>
    </row>
    <row r="12" spans="1:18" x14ac:dyDescent="0.3">
      <c r="A12" s="10" t="s">
        <v>413</v>
      </c>
      <c r="B12" s="19" t="s">
        <v>405</v>
      </c>
      <c r="C12" s="16">
        <v>110</v>
      </c>
      <c r="E12" s="10" t="s">
        <v>66</v>
      </c>
      <c r="F12" s="10" t="s">
        <v>372</v>
      </c>
      <c r="J12" s="10" t="s">
        <v>381</v>
      </c>
      <c r="R12" t="s">
        <v>329</v>
      </c>
    </row>
    <row r="13" spans="1:18" x14ac:dyDescent="0.3">
      <c r="A13" s="10" t="s">
        <v>414</v>
      </c>
      <c r="B13" s="19" t="s">
        <v>404</v>
      </c>
      <c r="C13" s="16">
        <v>111</v>
      </c>
      <c r="E13" s="10" t="s">
        <v>66</v>
      </c>
      <c r="F13" s="10" t="s">
        <v>382</v>
      </c>
      <c r="J13" s="10" t="s">
        <v>383</v>
      </c>
      <c r="R13" t="s">
        <v>120</v>
      </c>
    </row>
    <row r="14" spans="1:18" x14ac:dyDescent="0.3">
      <c r="A14" s="10" t="s">
        <v>415</v>
      </c>
      <c r="B14" s="19" t="s">
        <v>405</v>
      </c>
      <c r="C14" s="16">
        <v>112</v>
      </c>
      <c r="E14" s="10" t="s">
        <v>66</v>
      </c>
      <c r="F14" s="10" t="s">
        <v>382</v>
      </c>
      <c r="J14" s="10" t="s">
        <v>384</v>
      </c>
      <c r="R14" t="s">
        <v>120</v>
      </c>
    </row>
    <row r="15" spans="1:18" x14ac:dyDescent="0.3">
      <c r="A15" s="10" t="s">
        <v>416</v>
      </c>
      <c r="B15" s="19" t="s">
        <v>404</v>
      </c>
      <c r="C15" s="16">
        <v>113</v>
      </c>
      <c r="E15" s="10" t="s">
        <v>66</v>
      </c>
      <c r="F15" s="10" t="s">
        <v>382</v>
      </c>
      <c r="J15" s="10" t="s">
        <v>385</v>
      </c>
    </row>
    <row r="16" spans="1:18" x14ac:dyDescent="0.3">
      <c r="A16" s="10" t="s">
        <v>417</v>
      </c>
      <c r="B16" s="19" t="s">
        <v>405</v>
      </c>
      <c r="C16" s="16">
        <v>114</v>
      </c>
      <c r="E16" s="10" t="s">
        <v>66</v>
      </c>
      <c r="F16" s="10" t="s">
        <v>382</v>
      </c>
      <c r="J16" s="10" t="s">
        <v>373</v>
      </c>
      <c r="R16" t="s">
        <v>329</v>
      </c>
    </row>
    <row r="17" spans="1:18" x14ac:dyDescent="0.3">
      <c r="A17" s="10" t="s">
        <v>418</v>
      </c>
      <c r="B17" s="19" t="s">
        <v>404</v>
      </c>
      <c r="C17" s="16">
        <v>115</v>
      </c>
      <c r="E17" s="10" t="s">
        <v>66</v>
      </c>
      <c r="F17" s="10" t="s">
        <v>382</v>
      </c>
      <c r="J17" s="10" t="s">
        <v>386</v>
      </c>
      <c r="R17" t="s">
        <v>329</v>
      </c>
    </row>
    <row r="18" spans="1:18" x14ac:dyDescent="0.3">
      <c r="A18" s="10" t="s">
        <v>419</v>
      </c>
      <c r="B18" s="19" t="s">
        <v>405</v>
      </c>
      <c r="C18" s="16">
        <v>116</v>
      </c>
      <c r="E18" s="10" t="s">
        <v>66</v>
      </c>
      <c r="F18" s="10" t="s">
        <v>382</v>
      </c>
      <c r="J18" s="10" t="s">
        <v>387</v>
      </c>
      <c r="R18" t="s">
        <v>121</v>
      </c>
    </row>
    <row r="19" spans="1:18" x14ac:dyDescent="0.3">
      <c r="A19" s="10" t="s">
        <v>420</v>
      </c>
      <c r="B19" s="19" t="s">
        <v>404</v>
      </c>
      <c r="C19" s="16">
        <v>117</v>
      </c>
      <c r="E19" s="10" t="s">
        <v>66</v>
      </c>
      <c r="F19" s="10" t="s">
        <v>382</v>
      </c>
      <c r="J19" s="10" t="s">
        <v>388</v>
      </c>
      <c r="R19" t="s">
        <v>293</v>
      </c>
    </row>
    <row r="20" spans="1:18" x14ac:dyDescent="0.3">
      <c r="A20" s="10" t="s">
        <v>421</v>
      </c>
      <c r="B20" s="19" t="s">
        <v>405</v>
      </c>
      <c r="C20" s="16">
        <v>118</v>
      </c>
      <c r="E20" s="10" t="s">
        <v>66</v>
      </c>
      <c r="F20" s="10" t="s">
        <v>382</v>
      </c>
      <c r="J20" s="10" t="s">
        <v>389</v>
      </c>
      <c r="R20" t="s">
        <v>293</v>
      </c>
    </row>
    <row r="21" spans="1:18" x14ac:dyDescent="0.3">
      <c r="A21" s="10" t="s">
        <v>422</v>
      </c>
      <c r="B21" s="19" t="s">
        <v>404</v>
      </c>
      <c r="C21" s="16">
        <v>119</v>
      </c>
      <c r="E21" s="10" t="s">
        <v>66</v>
      </c>
      <c r="F21" s="10" t="s">
        <v>382</v>
      </c>
      <c r="J21" s="10" t="s">
        <v>390</v>
      </c>
      <c r="R21" t="s">
        <v>293</v>
      </c>
    </row>
    <row r="22" spans="1:18" x14ac:dyDescent="0.3">
      <c r="A22" s="10" t="s">
        <v>423</v>
      </c>
      <c r="B22" s="19" t="s">
        <v>405</v>
      </c>
      <c r="C22" s="16">
        <v>120</v>
      </c>
      <c r="E22" s="10" t="s">
        <v>66</v>
      </c>
      <c r="F22" s="10" t="s">
        <v>382</v>
      </c>
      <c r="J22" s="10" t="s">
        <v>388</v>
      </c>
      <c r="R22" t="s">
        <v>293</v>
      </c>
    </row>
    <row r="23" spans="1:18" x14ac:dyDescent="0.3">
      <c r="A23" s="10" t="s">
        <v>424</v>
      </c>
      <c r="B23" s="19" t="s">
        <v>404</v>
      </c>
      <c r="C23" s="16">
        <v>121</v>
      </c>
      <c r="E23" s="10" t="s">
        <v>66</v>
      </c>
      <c r="F23" s="10" t="s">
        <v>382</v>
      </c>
      <c r="J23" s="10" t="s">
        <v>391</v>
      </c>
      <c r="R23" t="s">
        <v>293</v>
      </c>
    </row>
    <row r="24" spans="1:18" x14ac:dyDescent="0.3">
      <c r="A24" s="10" t="s">
        <v>425</v>
      </c>
      <c r="B24" s="19" t="s">
        <v>405</v>
      </c>
      <c r="C24" s="16">
        <v>122</v>
      </c>
      <c r="E24" s="10" t="s">
        <v>66</v>
      </c>
      <c r="F24" s="10" t="s">
        <v>375</v>
      </c>
      <c r="J24" s="10" t="s">
        <v>392</v>
      </c>
      <c r="R24" t="s">
        <v>329</v>
      </c>
    </row>
    <row r="25" spans="1:18" x14ac:dyDescent="0.3">
      <c r="A25" s="10" t="s">
        <v>426</v>
      </c>
      <c r="B25" s="19" t="s">
        <v>404</v>
      </c>
      <c r="C25" s="16">
        <v>123</v>
      </c>
      <c r="E25" s="10" t="s">
        <v>66</v>
      </c>
      <c r="F25" s="10" t="s">
        <v>375</v>
      </c>
      <c r="J25" s="10" t="s">
        <v>392</v>
      </c>
      <c r="R25" t="s">
        <v>329</v>
      </c>
    </row>
    <row r="26" spans="1:18" x14ac:dyDescent="0.3">
      <c r="A26" s="10" t="s">
        <v>427</v>
      </c>
      <c r="B26" s="19" t="s">
        <v>405</v>
      </c>
      <c r="C26" s="16">
        <v>124</v>
      </c>
      <c r="E26" s="10" t="s">
        <v>66</v>
      </c>
      <c r="F26" s="10" t="s">
        <v>393</v>
      </c>
      <c r="J26" s="10" t="s">
        <v>394</v>
      </c>
      <c r="R26" t="s">
        <v>123</v>
      </c>
    </row>
    <row r="27" spans="1:18" x14ac:dyDescent="0.3">
      <c r="A27" s="10" t="s">
        <v>428</v>
      </c>
      <c r="B27" s="19" t="s">
        <v>404</v>
      </c>
      <c r="C27" s="16">
        <v>125</v>
      </c>
      <c r="E27" s="10" t="s">
        <v>66</v>
      </c>
      <c r="F27" s="10" t="s">
        <v>393</v>
      </c>
      <c r="J27" s="10" t="s">
        <v>394</v>
      </c>
      <c r="R27" t="s">
        <v>123</v>
      </c>
    </row>
    <row r="28" spans="1:18" x14ac:dyDescent="0.3">
      <c r="A28" s="10" t="s">
        <v>429</v>
      </c>
      <c r="B28" s="19" t="s">
        <v>405</v>
      </c>
      <c r="C28" s="16">
        <v>126</v>
      </c>
      <c r="E28" s="10" t="s">
        <v>66</v>
      </c>
      <c r="F28" s="10" t="s">
        <v>382</v>
      </c>
      <c r="J28" s="10" t="s">
        <v>395</v>
      </c>
      <c r="R28" t="s">
        <v>113</v>
      </c>
    </row>
    <row r="29" spans="1:18" x14ac:dyDescent="0.3">
      <c r="A29" s="10" t="s">
        <v>430</v>
      </c>
      <c r="B29" s="19" t="s">
        <v>404</v>
      </c>
      <c r="C29" s="16">
        <v>127</v>
      </c>
      <c r="E29" s="10" t="s">
        <v>66</v>
      </c>
      <c r="F29" s="10" t="s">
        <v>83</v>
      </c>
      <c r="J29" s="10" t="s">
        <v>396</v>
      </c>
      <c r="R29" t="s">
        <v>113</v>
      </c>
    </row>
    <row r="30" spans="1:18" x14ac:dyDescent="0.3">
      <c r="A30" s="10" t="s">
        <v>431</v>
      </c>
      <c r="B30" s="19" t="s">
        <v>405</v>
      </c>
      <c r="C30" s="16">
        <v>128</v>
      </c>
      <c r="E30" s="10" t="s">
        <v>66</v>
      </c>
      <c r="F30" s="10" t="s">
        <v>83</v>
      </c>
      <c r="J30" s="10" t="s">
        <v>397</v>
      </c>
      <c r="R30" t="s">
        <v>113</v>
      </c>
    </row>
    <row r="31" spans="1:18" x14ac:dyDescent="0.3">
      <c r="A31" s="10" t="s">
        <v>432</v>
      </c>
      <c r="B31" s="19" t="s">
        <v>404</v>
      </c>
      <c r="C31" s="16">
        <v>129</v>
      </c>
      <c r="E31" s="10" t="s">
        <v>66</v>
      </c>
      <c r="F31" s="10" t="s">
        <v>372</v>
      </c>
      <c r="J31" s="10" t="s">
        <v>398</v>
      </c>
      <c r="R31" t="s">
        <v>113</v>
      </c>
    </row>
    <row r="32" spans="1:18" x14ac:dyDescent="0.3">
      <c r="A32" s="10" t="s">
        <v>433</v>
      </c>
      <c r="B32" s="19" t="s">
        <v>405</v>
      </c>
      <c r="C32" s="16">
        <v>130</v>
      </c>
      <c r="E32" s="10" t="s">
        <v>66</v>
      </c>
      <c r="F32" s="10" t="s">
        <v>375</v>
      </c>
      <c r="J32" s="10" t="s">
        <v>116</v>
      </c>
      <c r="R32" t="s">
        <v>116</v>
      </c>
    </row>
    <row r="33" spans="1:18" x14ac:dyDescent="0.3">
      <c r="A33" s="10" t="s">
        <v>434</v>
      </c>
      <c r="B33" s="19" t="s">
        <v>404</v>
      </c>
      <c r="C33" s="16">
        <v>131</v>
      </c>
      <c r="E33" s="10" t="s">
        <v>66</v>
      </c>
      <c r="F33" s="10" t="s">
        <v>375</v>
      </c>
      <c r="J33" s="10" t="s">
        <v>399</v>
      </c>
      <c r="R33" t="s">
        <v>113</v>
      </c>
    </row>
    <row r="34" spans="1:18" x14ac:dyDescent="0.3">
      <c r="A34" s="10" t="s">
        <v>435</v>
      </c>
      <c r="B34" s="19" t="s">
        <v>405</v>
      </c>
      <c r="C34" s="16">
        <v>132</v>
      </c>
      <c r="E34" s="10" t="s">
        <v>66</v>
      </c>
      <c r="F34" s="10" t="s">
        <v>375</v>
      </c>
      <c r="J34" s="10" t="s">
        <v>400</v>
      </c>
      <c r="R34" t="s">
        <v>113</v>
      </c>
    </row>
    <row r="35" spans="1:18" x14ac:dyDescent="0.3">
      <c r="A35" s="10" t="s">
        <v>436</v>
      </c>
      <c r="B35" s="19" t="s">
        <v>404</v>
      </c>
      <c r="C35" s="16">
        <v>133</v>
      </c>
      <c r="E35" s="10" t="s">
        <v>66</v>
      </c>
      <c r="F35" s="10" t="s">
        <v>83</v>
      </c>
      <c r="J35" s="10" t="s">
        <v>401</v>
      </c>
      <c r="R35" t="s">
        <v>329</v>
      </c>
    </row>
  </sheetData>
  <autoFilter ref="A1:O2" xr:uid="{6ADBA5BD-C2D6-44C3-BD49-4B7EFAA5C650}"/>
  <mergeCells count="1">
    <mergeCell ref="A2:D2"/>
  </mergeCells>
  <phoneticPr fontId="3" type="noConversion"/>
  <dataValidations count="4">
    <dataValidation type="list" allowBlank="1" showInputMessage="1" showErrorMessage="1" sqref="G2:G1048576" xr:uid="{0803BF9D-2477-4289-80C0-B44EE6930BE0}">
      <formula1>regions</formula1>
    </dataValidation>
    <dataValidation type="list" allowBlank="1" showInputMessage="1" sqref="H2:H12440" xr:uid="{D34F45FF-F8D4-4CE5-ABF9-25C4A764A127}">
      <formula1>salesteam</formula1>
    </dataValidation>
    <dataValidation type="list" allowBlank="1" showInputMessage="1" showErrorMessage="1" sqref="F1:F1048576" xr:uid="{BE383F5C-97C6-4A79-83E3-9B3F00FDAB5C}">
      <formula1>courses</formula1>
    </dataValidation>
    <dataValidation type="list" allowBlank="1" showInputMessage="1" showErrorMessage="1" sqref="E2:E1048576" xr:uid="{81FBB653-D31E-48E6-AF25-8293915F7DF1}">
      <formula1>sources</formula1>
    </dataValidation>
  </dataValidations>
  <hyperlinks>
    <hyperlink ref="B3" r:id="rId1" xr:uid="{38293DA3-A3AB-4BB0-A868-F1706FD5B050}"/>
    <hyperlink ref="B4" r:id="rId2" xr:uid="{D03DB599-A49E-416F-BBA5-6182C2DBD65B}"/>
    <hyperlink ref="B5" r:id="rId3" xr:uid="{6392F93D-1B62-455D-A2E6-6FE4A76AAC8B}"/>
    <hyperlink ref="B7" r:id="rId4" xr:uid="{0D1712A1-556A-4680-9138-20C5E43FA71A}"/>
    <hyperlink ref="B9" r:id="rId5" xr:uid="{8A374E97-5074-4078-A522-5F3100AF1C91}"/>
    <hyperlink ref="B11" r:id="rId6" xr:uid="{E558CFF8-ECED-44B1-A8FC-EA12B4418F55}"/>
    <hyperlink ref="B13" r:id="rId7" xr:uid="{81584A02-AD30-4456-9338-F1EC8256BF55}"/>
    <hyperlink ref="B15" r:id="rId8" xr:uid="{578C8219-19E4-43A5-885C-8B4CBC7113E0}"/>
    <hyperlink ref="B17" r:id="rId9" xr:uid="{47C4CBA9-9BC2-4AB7-BFCD-FA0B6E8C44E8}"/>
    <hyperlink ref="B19" r:id="rId10" xr:uid="{37EDF92A-EBA3-44F7-998E-CA53A1800949}"/>
    <hyperlink ref="B21" r:id="rId11" xr:uid="{46B7B67C-1AEE-4A13-9DCE-787EA9001380}"/>
    <hyperlink ref="B23" r:id="rId12" xr:uid="{8EB68A5F-42F8-4040-A4AD-66C1A20D91A5}"/>
    <hyperlink ref="B25" r:id="rId13" xr:uid="{7D413E10-E1E1-40FF-9FF9-FABCD41013DB}"/>
    <hyperlink ref="B27" r:id="rId14" xr:uid="{BDF9B588-D0B2-4974-AC12-C9E62C387274}"/>
    <hyperlink ref="B29" r:id="rId15" xr:uid="{0E4409B6-9C7C-4CCA-A6AD-8AF129DD77D6}"/>
    <hyperlink ref="B31" r:id="rId16" xr:uid="{B46ECA7E-8574-4495-B418-1322FDA6AE21}"/>
    <hyperlink ref="B33" r:id="rId17" xr:uid="{47899862-704A-4BE4-80CA-7D341AAE4308}"/>
    <hyperlink ref="B35" r:id="rId18" display="xx2@gmail.com" xr:uid="{7438AA39-033C-496A-812F-6575F2353451}"/>
    <hyperlink ref="B6" r:id="rId19" xr:uid="{221656F0-A5BA-44B4-996C-425BB44CDD55}"/>
    <hyperlink ref="B8" r:id="rId20" xr:uid="{C5ADB643-99AA-49B6-8312-5C9EF41FF583}"/>
    <hyperlink ref="B10" r:id="rId21" xr:uid="{86D3524A-2EAF-4EB9-9BEC-7FA43854F2F2}"/>
    <hyperlink ref="B12" r:id="rId22" xr:uid="{8475F4C2-AFF4-48A7-821B-EBBF0DDD7C31}"/>
    <hyperlink ref="B14" r:id="rId23" xr:uid="{6827C7F8-B425-4DA3-8D10-8C3547D041E2}"/>
    <hyperlink ref="B16" r:id="rId24" xr:uid="{F7DD09D7-5B05-4EC1-8F20-6CC7A41F0F2C}"/>
    <hyperlink ref="B18" r:id="rId25" xr:uid="{F3B8969F-FCFF-44EB-A67C-35F5FB662E77}"/>
    <hyperlink ref="B20" r:id="rId26" xr:uid="{C89EC4A7-1957-4505-A365-30B4252A01BE}"/>
    <hyperlink ref="B22" r:id="rId27" xr:uid="{E0655E94-54FB-4B97-9667-E2DD0923D92B}"/>
    <hyperlink ref="B24" r:id="rId28" xr:uid="{A09A53BA-C3D7-43A8-93C3-048C559FF53E}"/>
    <hyperlink ref="B26" r:id="rId29" xr:uid="{42571C11-3D48-44BA-911E-F29EE48FB6E4}"/>
    <hyperlink ref="B28" r:id="rId30" xr:uid="{437C6831-2C45-419A-8F2B-B709824E0BBD}"/>
    <hyperlink ref="B30" r:id="rId31" xr:uid="{2B6BE849-4E15-46D6-9773-7ECAEAB0BD68}"/>
    <hyperlink ref="B32" r:id="rId32" xr:uid="{F5DF285F-286D-4104-856C-8D7B12FAA02C}"/>
    <hyperlink ref="B34" r:id="rId33" xr:uid="{AF0392BF-A88C-4E69-9578-69F75562A1C4}"/>
  </hyperlinks>
  <pageMargins left="0.7" right="0.7" top="0.75" bottom="0.75" header="0.3" footer="0.3"/>
  <pageSetup orientation="portrait" horizontalDpi="300" verticalDpi="300" r:id="rId34"/>
  <drawing r:id="rId35"/>
  <legacyDrawing r:id="rId3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7" name="Button 1">
              <controlPr defaultSize="0" print="0" autoFill="0" autoPict="0" macro="[0]!GeocodeLocationsWithBingMaps90">
                <anchor moveWithCells="1" sizeWithCells="1">
                  <from>
                    <xdr:col>15</xdr:col>
                    <xdr:colOff>22860</xdr:colOff>
                    <xdr:row>0</xdr:row>
                    <xdr:rowOff>0</xdr:rowOff>
                  </from>
                  <to>
                    <xdr:col>16</xdr:col>
                    <xdr:colOff>441960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9F649-95FE-421F-844C-43BD1A6CEDA4}">
  <sheetPr codeName="Sheet6"/>
  <dimension ref="A1:P1000"/>
  <sheetViews>
    <sheetView topLeftCell="C1" workbookViewId="0">
      <selection activeCell="D14" sqref="D14"/>
    </sheetView>
  </sheetViews>
  <sheetFormatPr defaultRowHeight="14.4" x14ac:dyDescent="0.3"/>
  <cols>
    <col min="1" max="7" width="12.44140625" customWidth="1"/>
    <col min="8" max="8" width="11.33203125" bestFit="1" customWidth="1"/>
    <col min="9" max="9" width="17.33203125" bestFit="1" customWidth="1"/>
    <col min="10" max="10" width="13.5546875" customWidth="1"/>
    <col min="11" max="11" width="27.44140625" bestFit="1" customWidth="1"/>
    <col min="12" max="12" width="13.5546875" bestFit="1" customWidth="1"/>
    <col min="13" max="13" width="27.44140625" bestFit="1" customWidth="1"/>
    <col min="14" max="14" width="22.33203125" bestFit="1" customWidth="1"/>
    <col min="15" max="15" width="13.33203125" customWidth="1"/>
  </cols>
  <sheetData>
    <row r="1" spans="1:14" x14ac:dyDescent="0.3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2" t="s">
        <v>9</v>
      </c>
      <c r="K1" s="4" t="s">
        <v>10</v>
      </c>
      <c r="L1" s="4" t="s">
        <v>11</v>
      </c>
      <c r="M1" s="4" t="s">
        <v>12</v>
      </c>
      <c r="N1" s="4" t="s">
        <v>13</v>
      </c>
    </row>
    <row r="2" spans="1:14" x14ac:dyDescent="0.3">
      <c r="A2" s="22" t="s">
        <v>14</v>
      </c>
      <c r="B2" s="22"/>
      <c r="C2" s="22"/>
      <c r="D2" s="23"/>
      <c r="E2" s="5"/>
      <c r="F2" s="5"/>
      <c r="G2" s="5"/>
      <c r="H2" s="5" t="str">
        <f>IF(N2=0,"","")</f>
        <v/>
      </c>
      <c r="I2" s="5" t="str">
        <f>IFERROR(VLOOKUP(H2,List!A:B, 2, FALSE), "")</f>
        <v/>
      </c>
      <c r="J2" s="5"/>
      <c r="K2" s="5" t="str">
        <f>SUBSTITUTE(SUBSTITUTE(SUBSTITUTE(SUBSTITUTE(C2,"-",""),"+",""),"p:","")," ","")</f>
        <v/>
      </c>
      <c r="L2" s="5" t="str">
        <f>K2</f>
        <v/>
      </c>
      <c r="M2" s="5" t="str">
        <f>IF(LEFT(L2, 2) = "91", RIGHT(L2, LEN(L2) - 2),
 IF(LEFT(L2, 3) = "971", RIGHT(L2, LEN(L2) - 3),
  IF(LEFT(L2, 2) = "92", RIGHT(L2, LEN(L2) - 2),
   IF(LEFT(L2, 3) = "974", RIGHT(L2, LEN(L2) - 3),
    IF(LEFT(L2, 2) = "60", RIGHT(L2, LEN(L2) - 2),
     IF(LEFT(L2, 2) = "65", RIGHT(L2, LEN(L2) - 2),
      IF(LEFT(L2, 3) = "966", RIGHT(L2, LEN(L2) - 3),
       IF(LEFT(L2, 3) = "967", RIGHT(L2, LEN(L2) - 3),
        IF(LEFT(L2, 3) = "968", RIGHT(L2, LEN(L2) - 3),
         IF(LEFT(L2, 3) = "249", RIGHT(L2, LEN(L2) - 3),
          IF(LEFT(L2, 3) = "213", RIGHT(L2, LEN(L2) - 3),
           IF(LEFT(L2, 3) = "965", RIGHT(L2, LEN(L2) - 3),
            IF(LEFT(L2, 3) = "1", RIGHT(L2, LEN(L2) - 1),
             IF(LEFT(L2, 3) = "973", RIGHT(L2, LEN(L2) - 3),
              IF(LEFT(L2, 3) = "233", RIGHT(L2, LEN(L2) - 3),
               IF(LEFT(L2, 3) = "977", RIGHT(L2, LEN(L2) - 3),
                IF(LEFT(L2, 2) = "20", RIGHT(L2, LEN(L2) - 2),
                 L2
                )
               )
              )
             )
            )
           )
          )
         )
        )
       )
      )
     )
    )
   )
  )
 )
)</f>
        <v/>
      </c>
      <c r="N2" s="6"/>
    </row>
    <row r="3" spans="1:14" x14ac:dyDescent="0.3">
      <c r="I3" t="str">
        <f>IFERROR(VLOOKUP(H3,List!A:B, 2, FALSE), "")</f>
        <v/>
      </c>
      <c r="K3" t="str">
        <f t="shared" ref="K3:K66" si="0">SUBSTITUTE(SUBSTITUTE(SUBSTITUTE(SUBSTITUTE(C3,"-",""),"+",""),"p:","")," ","")</f>
        <v/>
      </c>
      <c r="L3" t="str">
        <f t="shared" ref="L3:L66" si="1">K3</f>
        <v/>
      </c>
      <c r="M3" t="str">
        <f t="shared" ref="M3:M66" si="2">IF(LEFT(L3, 2) = "91", RIGHT(L3, LEN(L3) - 2),
 IF(LEFT(L3, 3) = "971", RIGHT(L3, LEN(L3) - 3),
  IF(LEFT(L3, 2) = "92", RIGHT(L3, LEN(L3) - 2),
   IF(LEFT(L3, 3) = "974", RIGHT(L3, LEN(L3) - 3),
    IF(LEFT(L3, 2) = "60", RIGHT(L3, LEN(L3) - 2),
     IF(LEFT(L3, 2) = "65", RIGHT(L3, LEN(L3) - 2),
      IF(LEFT(L3, 3) = "966", RIGHT(L3, LEN(L3) - 3),
       IF(LEFT(L3, 3) = "967", RIGHT(L3, LEN(L3) - 3),
        IF(LEFT(L3, 3) = "968", RIGHT(L3, LEN(L3) - 3),
         IF(LEFT(L3, 3) = "249", RIGHT(L3, LEN(L3) - 3),
          IF(LEFT(L3, 3) = "213", RIGHT(L3, LEN(L3) - 3),
           IF(LEFT(L3, 3) = "965", RIGHT(L3, LEN(L3) - 3),
            IF(LEFT(L3, 3) = "1", RIGHT(L3, LEN(L3) - 1),
             IF(LEFT(L3, 3) = "973", RIGHT(L3, LEN(L3) - 3),
              IF(LEFT(L3, 3) = "233", RIGHT(L3, LEN(L3) - 3),
               IF(LEFT(L3, 3) = "977", RIGHT(L3, LEN(L3) - 3),
                IF(LEFT(L3, 2) = "20", RIGHT(L3, LEN(L3) - 2),
                 L3
                )
               )
              )
             )
            )
           )
          )
         )
        )
       )
      )
     )
    )
   )
  )
 )
)</f>
        <v/>
      </c>
    </row>
    <row r="4" spans="1:14" x14ac:dyDescent="0.3">
      <c r="I4" t="str">
        <f>IFERROR(VLOOKUP(H4,List!A:B, 2, FALSE), "")</f>
        <v/>
      </c>
      <c r="K4" t="str">
        <f t="shared" si="0"/>
        <v/>
      </c>
      <c r="L4" t="str">
        <f t="shared" si="1"/>
        <v/>
      </c>
      <c r="M4" t="str">
        <f t="shared" si="2"/>
        <v/>
      </c>
    </row>
    <row r="5" spans="1:14" x14ac:dyDescent="0.3">
      <c r="I5" t="str">
        <f>IFERROR(VLOOKUP(H5,List!A:B, 2, FALSE), "")</f>
        <v/>
      </c>
      <c r="K5" t="str">
        <f t="shared" si="0"/>
        <v/>
      </c>
      <c r="L5" t="str">
        <f t="shared" si="1"/>
        <v/>
      </c>
      <c r="M5" t="str">
        <f t="shared" si="2"/>
        <v/>
      </c>
    </row>
    <row r="6" spans="1:14" x14ac:dyDescent="0.3">
      <c r="I6" t="str">
        <f>IFERROR(VLOOKUP(H6,List!A:B, 2, FALSE), "")</f>
        <v/>
      </c>
      <c r="K6" t="str">
        <f t="shared" si="0"/>
        <v/>
      </c>
      <c r="L6" t="str">
        <f t="shared" si="1"/>
        <v/>
      </c>
      <c r="M6" t="str">
        <f t="shared" si="2"/>
        <v/>
      </c>
    </row>
    <row r="7" spans="1:14" x14ac:dyDescent="0.3">
      <c r="H7" t="str">
        <f t="shared" ref="H7:H70" si="3">IF(N7=0,"","")</f>
        <v/>
      </c>
      <c r="I7" t="str">
        <f>IFERROR(VLOOKUP(H7,List!A:B, 2, FALSE), "")</f>
        <v/>
      </c>
      <c r="K7" t="str">
        <f t="shared" si="0"/>
        <v/>
      </c>
      <c r="L7" t="str">
        <f t="shared" si="1"/>
        <v/>
      </c>
      <c r="M7" t="str">
        <f t="shared" si="2"/>
        <v/>
      </c>
    </row>
    <row r="8" spans="1:14" x14ac:dyDescent="0.3">
      <c r="H8" t="str">
        <f t="shared" si="3"/>
        <v/>
      </c>
      <c r="I8" t="str">
        <f>IFERROR(VLOOKUP(H8,List!A:B, 2, FALSE), "")</f>
        <v/>
      </c>
      <c r="K8" t="str">
        <f t="shared" si="0"/>
        <v/>
      </c>
      <c r="L8" t="str">
        <f t="shared" si="1"/>
        <v/>
      </c>
      <c r="M8" t="str">
        <f t="shared" si="2"/>
        <v/>
      </c>
    </row>
    <row r="9" spans="1:14" x14ac:dyDescent="0.3">
      <c r="H9" t="str">
        <f t="shared" si="3"/>
        <v/>
      </c>
      <c r="I9" t="str">
        <f>IFERROR(VLOOKUP(H9,List!A:B, 2, FALSE), "")</f>
        <v/>
      </c>
      <c r="K9" t="str">
        <f t="shared" si="0"/>
        <v/>
      </c>
      <c r="L9" t="str">
        <f t="shared" si="1"/>
        <v/>
      </c>
      <c r="M9" t="str">
        <f t="shared" si="2"/>
        <v/>
      </c>
    </row>
    <row r="10" spans="1:14" x14ac:dyDescent="0.3">
      <c r="H10" t="str">
        <f t="shared" si="3"/>
        <v/>
      </c>
      <c r="I10" t="str">
        <f>IFERROR(VLOOKUP(H10,List!A:B, 2, FALSE), "")</f>
        <v/>
      </c>
      <c r="K10" t="str">
        <f t="shared" si="0"/>
        <v/>
      </c>
      <c r="L10" t="str">
        <f t="shared" si="1"/>
        <v/>
      </c>
      <c r="M10" t="str">
        <f t="shared" si="2"/>
        <v/>
      </c>
    </row>
    <row r="11" spans="1:14" x14ac:dyDescent="0.3">
      <c r="H11" t="str">
        <f t="shared" si="3"/>
        <v/>
      </c>
      <c r="I11" t="str">
        <f>IFERROR(VLOOKUP(H11,List!A:B, 2, FALSE), "")</f>
        <v/>
      </c>
      <c r="K11" t="str">
        <f t="shared" si="0"/>
        <v/>
      </c>
      <c r="L11" t="str">
        <f t="shared" si="1"/>
        <v/>
      </c>
      <c r="M11" t="str">
        <f t="shared" si="2"/>
        <v/>
      </c>
    </row>
    <row r="12" spans="1:14" x14ac:dyDescent="0.3">
      <c r="H12" t="str">
        <f t="shared" si="3"/>
        <v/>
      </c>
      <c r="I12" t="str">
        <f>IFERROR(VLOOKUP(H12,List!A:B, 2, FALSE), "")</f>
        <v/>
      </c>
      <c r="K12" t="str">
        <f t="shared" si="0"/>
        <v/>
      </c>
      <c r="L12" t="str">
        <f t="shared" si="1"/>
        <v/>
      </c>
      <c r="M12" t="str">
        <f t="shared" si="2"/>
        <v/>
      </c>
    </row>
    <row r="13" spans="1:14" x14ac:dyDescent="0.3">
      <c r="H13" t="str">
        <f t="shared" si="3"/>
        <v/>
      </c>
      <c r="I13" t="str">
        <f>IFERROR(VLOOKUP(H13,List!A:B, 2, FALSE), "")</f>
        <v/>
      </c>
      <c r="K13" t="str">
        <f t="shared" si="0"/>
        <v/>
      </c>
      <c r="L13" t="str">
        <f t="shared" si="1"/>
        <v/>
      </c>
      <c r="M13" t="str">
        <f t="shared" si="2"/>
        <v/>
      </c>
    </row>
    <row r="14" spans="1:14" x14ac:dyDescent="0.3">
      <c r="H14" t="str">
        <f t="shared" si="3"/>
        <v/>
      </c>
      <c r="I14" t="str">
        <f>IFERROR(VLOOKUP(H14,List!A:B, 2, FALSE), "")</f>
        <v/>
      </c>
      <c r="K14" t="str">
        <f t="shared" si="0"/>
        <v/>
      </c>
      <c r="L14" t="str">
        <f t="shared" si="1"/>
        <v/>
      </c>
      <c r="M14" t="str">
        <f t="shared" si="2"/>
        <v/>
      </c>
    </row>
    <row r="15" spans="1:14" x14ac:dyDescent="0.3">
      <c r="H15" t="str">
        <f t="shared" si="3"/>
        <v/>
      </c>
      <c r="I15" t="str">
        <f>IFERROR(VLOOKUP(H15,List!A:B, 2, FALSE), "")</f>
        <v/>
      </c>
      <c r="K15" t="str">
        <f t="shared" si="0"/>
        <v/>
      </c>
      <c r="L15" t="str">
        <f t="shared" si="1"/>
        <v/>
      </c>
      <c r="M15" t="str">
        <f t="shared" si="2"/>
        <v/>
      </c>
    </row>
    <row r="16" spans="1:14" x14ac:dyDescent="0.3">
      <c r="H16" t="str">
        <f t="shared" si="3"/>
        <v/>
      </c>
      <c r="I16" t="str">
        <f>IFERROR(VLOOKUP(H16,List!A:B, 2, FALSE), "")</f>
        <v/>
      </c>
      <c r="K16" t="str">
        <f t="shared" si="0"/>
        <v/>
      </c>
      <c r="L16" t="str">
        <f t="shared" si="1"/>
        <v/>
      </c>
      <c r="M16" t="str">
        <f t="shared" si="2"/>
        <v/>
      </c>
    </row>
    <row r="17" spans="8:13" x14ac:dyDescent="0.3">
      <c r="H17" t="str">
        <f t="shared" si="3"/>
        <v/>
      </c>
      <c r="I17" t="str">
        <f>IFERROR(VLOOKUP(H17,List!A:B, 2, FALSE), "")</f>
        <v/>
      </c>
      <c r="K17" t="str">
        <f t="shared" si="0"/>
        <v/>
      </c>
      <c r="L17" t="str">
        <f t="shared" si="1"/>
        <v/>
      </c>
      <c r="M17" t="str">
        <f t="shared" si="2"/>
        <v/>
      </c>
    </row>
    <row r="18" spans="8:13" x14ac:dyDescent="0.3">
      <c r="H18" t="str">
        <f t="shared" si="3"/>
        <v/>
      </c>
      <c r="I18" t="str">
        <f>IFERROR(VLOOKUP(H18,List!A:B, 2, FALSE), "")</f>
        <v/>
      </c>
      <c r="K18" t="str">
        <f t="shared" si="0"/>
        <v/>
      </c>
      <c r="L18" t="str">
        <f t="shared" si="1"/>
        <v/>
      </c>
      <c r="M18" t="str">
        <f t="shared" si="2"/>
        <v/>
      </c>
    </row>
    <row r="19" spans="8:13" x14ac:dyDescent="0.3">
      <c r="H19" t="str">
        <f t="shared" si="3"/>
        <v/>
      </c>
      <c r="I19" t="str">
        <f>IFERROR(VLOOKUP(H19,List!A:B, 2, FALSE), "")</f>
        <v/>
      </c>
      <c r="K19" t="str">
        <f t="shared" si="0"/>
        <v/>
      </c>
      <c r="L19" t="str">
        <f t="shared" si="1"/>
        <v/>
      </c>
      <c r="M19" t="str">
        <f t="shared" si="2"/>
        <v/>
      </c>
    </row>
    <row r="20" spans="8:13" x14ac:dyDescent="0.3">
      <c r="H20" t="str">
        <f t="shared" si="3"/>
        <v/>
      </c>
      <c r="I20" t="str">
        <f>IFERROR(VLOOKUP(H20,List!A:B, 2, FALSE), "")</f>
        <v/>
      </c>
      <c r="K20" t="str">
        <f t="shared" si="0"/>
        <v/>
      </c>
      <c r="L20" t="str">
        <f t="shared" si="1"/>
        <v/>
      </c>
      <c r="M20" t="str">
        <f t="shared" si="2"/>
        <v/>
      </c>
    </row>
    <row r="21" spans="8:13" x14ac:dyDescent="0.3">
      <c r="H21" t="str">
        <f t="shared" si="3"/>
        <v/>
      </c>
      <c r="I21" t="str">
        <f>IFERROR(VLOOKUP(H21,List!A:B, 2, FALSE), "")</f>
        <v/>
      </c>
      <c r="K21" t="str">
        <f t="shared" si="0"/>
        <v/>
      </c>
      <c r="L21" t="str">
        <f t="shared" si="1"/>
        <v/>
      </c>
      <c r="M21" t="str">
        <f t="shared" si="2"/>
        <v/>
      </c>
    </row>
    <row r="22" spans="8:13" x14ac:dyDescent="0.3">
      <c r="H22" t="str">
        <f t="shared" si="3"/>
        <v/>
      </c>
      <c r="I22" t="str">
        <f>IFERROR(VLOOKUP(H22,List!A:B, 2, FALSE), "")</f>
        <v/>
      </c>
      <c r="K22" t="str">
        <f t="shared" si="0"/>
        <v/>
      </c>
      <c r="L22" t="str">
        <f t="shared" si="1"/>
        <v/>
      </c>
      <c r="M22" t="str">
        <f t="shared" si="2"/>
        <v/>
      </c>
    </row>
    <row r="23" spans="8:13" x14ac:dyDescent="0.3">
      <c r="H23" t="str">
        <f t="shared" si="3"/>
        <v/>
      </c>
      <c r="I23" t="str">
        <f>IFERROR(VLOOKUP(H23,List!A:B, 2, FALSE), "")</f>
        <v/>
      </c>
      <c r="K23" t="str">
        <f t="shared" si="0"/>
        <v/>
      </c>
      <c r="L23" t="str">
        <f t="shared" si="1"/>
        <v/>
      </c>
      <c r="M23" t="str">
        <f t="shared" si="2"/>
        <v/>
      </c>
    </row>
    <row r="24" spans="8:13" x14ac:dyDescent="0.3">
      <c r="H24" t="str">
        <f t="shared" si="3"/>
        <v/>
      </c>
      <c r="I24" t="str">
        <f>IFERROR(VLOOKUP(H24,List!A:B, 2, FALSE), "")</f>
        <v/>
      </c>
      <c r="K24" t="str">
        <f t="shared" si="0"/>
        <v/>
      </c>
      <c r="L24" t="str">
        <f t="shared" si="1"/>
        <v/>
      </c>
      <c r="M24" t="str">
        <f t="shared" si="2"/>
        <v/>
      </c>
    </row>
    <row r="25" spans="8:13" x14ac:dyDescent="0.3">
      <c r="H25" t="str">
        <f t="shared" si="3"/>
        <v/>
      </c>
      <c r="I25" t="str">
        <f>IFERROR(VLOOKUP(H25,List!A:B, 2, FALSE), "")</f>
        <v/>
      </c>
      <c r="K25" t="str">
        <f t="shared" si="0"/>
        <v/>
      </c>
      <c r="L25" t="str">
        <f t="shared" si="1"/>
        <v/>
      </c>
      <c r="M25" t="str">
        <f t="shared" si="2"/>
        <v/>
      </c>
    </row>
    <row r="26" spans="8:13" x14ac:dyDescent="0.3">
      <c r="H26" t="str">
        <f t="shared" si="3"/>
        <v/>
      </c>
      <c r="I26" t="str">
        <f>IFERROR(VLOOKUP(H26,List!A:B, 2, FALSE), "")</f>
        <v/>
      </c>
      <c r="K26" t="str">
        <f t="shared" si="0"/>
        <v/>
      </c>
      <c r="L26" t="str">
        <f t="shared" si="1"/>
        <v/>
      </c>
      <c r="M26" t="str">
        <f t="shared" si="2"/>
        <v/>
      </c>
    </row>
    <row r="27" spans="8:13" x14ac:dyDescent="0.3">
      <c r="H27" t="str">
        <f t="shared" si="3"/>
        <v/>
      </c>
      <c r="I27" t="str">
        <f>IFERROR(VLOOKUP(H27,List!A:B, 2, FALSE), "")</f>
        <v/>
      </c>
      <c r="K27" t="str">
        <f t="shared" si="0"/>
        <v/>
      </c>
      <c r="L27" t="str">
        <f t="shared" si="1"/>
        <v/>
      </c>
      <c r="M27" t="str">
        <f t="shared" si="2"/>
        <v/>
      </c>
    </row>
    <row r="28" spans="8:13" x14ac:dyDescent="0.3">
      <c r="H28" t="str">
        <f t="shared" si="3"/>
        <v/>
      </c>
      <c r="I28" t="str">
        <f>IFERROR(VLOOKUP(H28,List!A:B, 2, FALSE), "")</f>
        <v/>
      </c>
      <c r="K28" t="str">
        <f t="shared" si="0"/>
        <v/>
      </c>
      <c r="L28" t="str">
        <f t="shared" si="1"/>
        <v/>
      </c>
      <c r="M28" t="str">
        <f t="shared" si="2"/>
        <v/>
      </c>
    </row>
    <row r="29" spans="8:13" x14ac:dyDescent="0.3">
      <c r="H29" t="str">
        <f t="shared" si="3"/>
        <v/>
      </c>
      <c r="I29" t="str">
        <f>IFERROR(VLOOKUP(H29,List!A:B, 2, FALSE), "")</f>
        <v/>
      </c>
      <c r="K29" t="str">
        <f t="shared" si="0"/>
        <v/>
      </c>
      <c r="L29" t="str">
        <f t="shared" si="1"/>
        <v/>
      </c>
      <c r="M29" t="str">
        <f t="shared" si="2"/>
        <v/>
      </c>
    </row>
    <row r="30" spans="8:13" x14ac:dyDescent="0.3">
      <c r="H30" t="str">
        <f t="shared" si="3"/>
        <v/>
      </c>
      <c r="I30" t="str">
        <f>IFERROR(VLOOKUP(H30,List!A:B, 2, FALSE), "")</f>
        <v/>
      </c>
      <c r="K30" t="str">
        <f t="shared" si="0"/>
        <v/>
      </c>
      <c r="L30" t="str">
        <f t="shared" si="1"/>
        <v/>
      </c>
      <c r="M30" t="str">
        <f t="shared" si="2"/>
        <v/>
      </c>
    </row>
    <row r="31" spans="8:13" x14ac:dyDescent="0.3">
      <c r="H31" t="str">
        <f t="shared" si="3"/>
        <v/>
      </c>
      <c r="I31" t="str">
        <f>IFERROR(VLOOKUP(H31,List!A:B, 2, FALSE), "")</f>
        <v/>
      </c>
      <c r="K31" t="str">
        <f t="shared" si="0"/>
        <v/>
      </c>
      <c r="L31" t="str">
        <f t="shared" si="1"/>
        <v/>
      </c>
      <c r="M31" t="str">
        <f t="shared" si="2"/>
        <v/>
      </c>
    </row>
    <row r="32" spans="8:13" x14ac:dyDescent="0.3">
      <c r="H32" t="str">
        <f t="shared" si="3"/>
        <v/>
      </c>
      <c r="I32" t="str">
        <f>IFERROR(VLOOKUP(H32,List!A:B, 2, FALSE), "")</f>
        <v/>
      </c>
      <c r="K32" t="str">
        <f t="shared" si="0"/>
        <v/>
      </c>
      <c r="L32" t="str">
        <f t="shared" si="1"/>
        <v/>
      </c>
      <c r="M32" t="str">
        <f t="shared" si="2"/>
        <v/>
      </c>
    </row>
    <row r="33" spans="8:13" x14ac:dyDescent="0.3">
      <c r="H33" t="str">
        <f t="shared" si="3"/>
        <v/>
      </c>
      <c r="I33" t="str">
        <f>IFERROR(VLOOKUP(H33,List!A:B, 2, FALSE), "")</f>
        <v/>
      </c>
      <c r="K33" t="str">
        <f t="shared" si="0"/>
        <v/>
      </c>
      <c r="L33" t="str">
        <f t="shared" si="1"/>
        <v/>
      </c>
      <c r="M33" t="str">
        <f t="shared" si="2"/>
        <v/>
      </c>
    </row>
    <row r="34" spans="8:13" x14ac:dyDescent="0.3">
      <c r="H34" t="str">
        <f t="shared" si="3"/>
        <v/>
      </c>
      <c r="I34" t="str">
        <f>IFERROR(VLOOKUP(H34,List!A:B, 2, FALSE), "")</f>
        <v/>
      </c>
      <c r="K34" t="str">
        <f t="shared" si="0"/>
        <v/>
      </c>
      <c r="L34" t="str">
        <f t="shared" si="1"/>
        <v/>
      </c>
      <c r="M34" t="str">
        <f t="shared" si="2"/>
        <v/>
      </c>
    </row>
    <row r="35" spans="8:13" x14ac:dyDescent="0.3">
      <c r="H35" t="str">
        <f t="shared" si="3"/>
        <v/>
      </c>
      <c r="I35" t="str">
        <f>IFERROR(VLOOKUP(H35,List!A:B, 2, FALSE), "")</f>
        <v/>
      </c>
      <c r="K35" t="str">
        <f t="shared" si="0"/>
        <v/>
      </c>
      <c r="L35" t="str">
        <f t="shared" si="1"/>
        <v/>
      </c>
      <c r="M35" t="str">
        <f t="shared" si="2"/>
        <v/>
      </c>
    </row>
    <row r="36" spans="8:13" x14ac:dyDescent="0.3">
      <c r="H36" t="str">
        <f t="shared" si="3"/>
        <v/>
      </c>
      <c r="I36" t="str">
        <f>IFERROR(VLOOKUP(H36,List!A:B, 2, FALSE), "")</f>
        <v/>
      </c>
      <c r="K36" t="str">
        <f t="shared" si="0"/>
        <v/>
      </c>
      <c r="L36" t="str">
        <f t="shared" si="1"/>
        <v/>
      </c>
      <c r="M36" t="str">
        <f t="shared" si="2"/>
        <v/>
      </c>
    </row>
    <row r="37" spans="8:13" x14ac:dyDescent="0.3">
      <c r="H37" t="str">
        <f t="shared" si="3"/>
        <v/>
      </c>
      <c r="I37" t="str">
        <f>IFERROR(VLOOKUP(H37,List!A:B, 2, FALSE), "")</f>
        <v/>
      </c>
      <c r="K37" t="str">
        <f t="shared" si="0"/>
        <v/>
      </c>
      <c r="L37" t="str">
        <f t="shared" si="1"/>
        <v/>
      </c>
      <c r="M37" t="str">
        <f t="shared" si="2"/>
        <v/>
      </c>
    </row>
    <row r="38" spans="8:13" x14ac:dyDescent="0.3">
      <c r="H38" t="str">
        <f t="shared" si="3"/>
        <v/>
      </c>
      <c r="I38" t="str">
        <f>IFERROR(VLOOKUP(H38,List!A:B, 2, FALSE), "")</f>
        <v/>
      </c>
      <c r="K38" t="str">
        <f t="shared" si="0"/>
        <v/>
      </c>
      <c r="L38" t="str">
        <f t="shared" si="1"/>
        <v/>
      </c>
      <c r="M38" t="str">
        <f t="shared" si="2"/>
        <v/>
      </c>
    </row>
    <row r="39" spans="8:13" x14ac:dyDescent="0.3">
      <c r="H39" t="str">
        <f t="shared" si="3"/>
        <v/>
      </c>
      <c r="I39" t="str">
        <f>IFERROR(VLOOKUP(H39,List!A:B, 2, FALSE), "")</f>
        <v/>
      </c>
      <c r="K39" t="str">
        <f t="shared" si="0"/>
        <v/>
      </c>
      <c r="L39" t="str">
        <f t="shared" si="1"/>
        <v/>
      </c>
      <c r="M39" t="str">
        <f t="shared" si="2"/>
        <v/>
      </c>
    </row>
    <row r="40" spans="8:13" x14ac:dyDescent="0.3">
      <c r="H40" t="str">
        <f t="shared" si="3"/>
        <v/>
      </c>
      <c r="I40" t="str">
        <f>IFERROR(VLOOKUP(H40,List!A:B, 2, FALSE), "")</f>
        <v/>
      </c>
      <c r="K40" t="str">
        <f t="shared" si="0"/>
        <v/>
      </c>
      <c r="L40" t="str">
        <f t="shared" si="1"/>
        <v/>
      </c>
      <c r="M40" t="str">
        <f t="shared" si="2"/>
        <v/>
      </c>
    </row>
    <row r="41" spans="8:13" x14ac:dyDescent="0.3">
      <c r="H41" t="str">
        <f t="shared" si="3"/>
        <v/>
      </c>
      <c r="I41" t="str">
        <f>IFERROR(VLOOKUP(H41,List!A:B, 2, FALSE), "")</f>
        <v/>
      </c>
      <c r="K41" t="str">
        <f t="shared" si="0"/>
        <v/>
      </c>
      <c r="L41" t="str">
        <f t="shared" si="1"/>
        <v/>
      </c>
      <c r="M41" t="str">
        <f t="shared" si="2"/>
        <v/>
      </c>
    </row>
    <row r="42" spans="8:13" x14ac:dyDescent="0.3">
      <c r="H42" t="str">
        <f t="shared" si="3"/>
        <v/>
      </c>
      <c r="I42" t="str">
        <f>IFERROR(VLOOKUP(H42,List!A:B, 2, FALSE), "")</f>
        <v/>
      </c>
      <c r="K42" t="str">
        <f t="shared" si="0"/>
        <v/>
      </c>
      <c r="L42" t="str">
        <f t="shared" si="1"/>
        <v/>
      </c>
      <c r="M42" t="str">
        <f t="shared" si="2"/>
        <v/>
      </c>
    </row>
    <row r="43" spans="8:13" x14ac:dyDescent="0.3">
      <c r="H43" t="str">
        <f t="shared" si="3"/>
        <v/>
      </c>
      <c r="I43" t="str">
        <f>IFERROR(VLOOKUP(H43,List!A:B, 2, FALSE), "")</f>
        <v/>
      </c>
      <c r="K43" t="str">
        <f t="shared" si="0"/>
        <v/>
      </c>
      <c r="L43" t="str">
        <f t="shared" si="1"/>
        <v/>
      </c>
      <c r="M43" t="str">
        <f t="shared" si="2"/>
        <v/>
      </c>
    </row>
    <row r="44" spans="8:13" x14ac:dyDescent="0.3">
      <c r="H44" t="str">
        <f t="shared" si="3"/>
        <v/>
      </c>
      <c r="I44" t="str">
        <f>IFERROR(VLOOKUP(H44,List!A:B, 2, FALSE), "")</f>
        <v/>
      </c>
      <c r="K44" t="str">
        <f t="shared" si="0"/>
        <v/>
      </c>
      <c r="L44" t="str">
        <f t="shared" si="1"/>
        <v/>
      </c>
      <c r="M44" t="str">
        <f t="shared" si="2"/>
        <v/>
      </c>
    </row>
    <row r="45" spans="8:13" x14ac:dyDescent="0.3">
      <c r="H45" t="str">
        <f t="shared" si="3"/>
        <v/>
      </c>
      <c r="I45" t="str">
        <f>IFERROR(VLOOKUP(H45,List!A:B, 2, FALSE), "")</f>
        <v/>
      </c>
      <c r="K45" t="str">
        <f t="shared" si="0"/>
        <v/>
      </c>
      <c r="L45" t="str">
        <f t="shared" si="1"/>
        <v/>
      </c>
      <c r="M45" t="str">
        <f t="shared" si="2"/>
        <v/>
      </c>
    </row>
    <row r="46" spans="8:13" x14ac:dyDescent="0.3">
      <c r="H46" t="str">
        <f t="shared" si="3"/>
        <v/>
      </c>
      <c r="I46" t="str">
        <f>IFERROR(VLOOKUP(H46,List!A:B, 2, FALSE), "")</f>
        <v/>
      </c>
      <c r="K46" t="str">
        <f t="shared" si="0"/>
        <v/>
      </c>
      <c r="L46" t="str">
        <f t="shared" si="1"/>
        <v/>
      </c>
      <c r="M46" t="str">
        <f t="shared" si="2"/>
        <v/>
      </c>
    </row>
    <row r="47" spans="8:13" x14ac:dyDescent="0.3">
      <c r="H47" t="str">
        <f t="shared" si="3"/>
        <v/>
      </c>
      <c r="I47" t="str">
        <f>IFERROR(VLOOKUP(H47,List!A:B, 2, FALSE), "")</f>
        <v/>
      </c>
      <c r="K47" t="str">
        <f t="shared" si="0"/>
        <v/>
      </c>
      <c r="L47" t="str">
        <f t="shared" si="1"/>
        <v/>
      </c>
      <c r="M47" t="str">
        <f t="shared" si="2"/>
        <v/>
      </c>
    </row>
    <row r="48" spans="8:13" x14ac:dyDescent="0.3">
      <c r="H48" t="str">
        <f t="shared" si="3"/>
        <v/>
      </c>
      <c r="I48" t="str">
        <f>IFERROR(VLOOKUP(H48,List!A:B, 2, FALSE), "")</f>
        <v/>
      </c>
      <c r="K48" t="str">
        <f t="shared" si="0"/>
        <v/>
      </c>
      <c r="L48" t="str">
        <f t="shared" si="1"/>
        <v/>
      </c>
      <c r="M48" t="str">
        <f t="shared" si="2"/>
        <v/>
      </c>
    </row>
    <row r="49" spans="8:13" x14ac:dyDescent="0.3">
      <c r="H49" t="str">
        <f t="shared" si="3"/>
        <v/>
      </c>
      <c r="I49" t="str">
        <f>IFERROR(VLOOKUP(H49,List!A:B, 2, FALSE), "")</f>
        <v/>
      </c>
      <c r="K49" t="str">
        <f t="shared" si="0"/>
        <v/>
      </c>
      <c r="L49" t="str">
        <f t="shared" si="1"/>
        <v/>
      </c>
      <c r="M49" t="str">
        <f t="shared" si="2"/>
        <v/>
      </c>
    </row>
    <row r="50" spans="8:13" x14ac:dyDescent="0.3">
      <c r="H50" t="str">
        <f t="shared" si="3"/>
        <v/>
      </c>
      <c r="I50" t="str">
        <f>IFERROR(VLOOKUP(H50,List!A:B, 2, FALSE), "")</f>
        <v/>
      </c>
      <c r="K50" t="str">
        <f t="shared" si="0"/>
        <v/>
      </c>
      <c r="L50" t="str">
        <f t="shared" si="1"/>
        <v/>
      </c>
      <c r="M50" t="str">
        <f t="shared" si="2"/>
        <v/>
      </c>
    </row>
    <row r="51" spans="8:13" x14ac:dyDescent="0.3">
      <c r="H51" t="str">
        <f t="shared" si="3"/>
        <v/>
      </c>
      <c r="I51" t="str">
        <f>IFERROR(VLOOKUP(H51,List!A:B, 2, FALSE), "")</f>
        <v/>
      </c>
      <c r="K51" t="str">
        <f t="shared" si="0"/>
        <v/>
      </c>
      <c r="L51" t="str">
        <f t="shared" si="1"/>
        <v/>
      </c>
      <c r="M51" t="str">
        <f t="shared" si="2"/>
        <v/>
      </c>
    </row>
    <row r="52" spans="8:13" x14ac:dyDescent="0.3">
      <c r="H52" t="str">
        <f t="shared" si="3"/>
        <v/>
      </c>
      <c r="I52" t="str">
        <f>IFERROR(VLOOKUP(H52,List!A:B, 2, FALSE), "")</f>
        <v/>
      </c>
      <c r="K52" t="str">
        <f t="shared" si="0"/>
        <v/>
      </c>
      <c r="L52" t="str">
        <f t="shared" si="1"/>
        <v/>
      </c>
      <c r="M52" t="str">
        <f t="shared" si="2"/>
        <v/>
      </c>
    </row>
    <row r="53" spans="8:13" x14ac:dyDescent="0.3">
      <c r="H53" t="str">
        <f t="shared" si="3"/>
        <v/>
      </c>
      <c r="I53" t="str">
        <f>IFERROR(VLOOKUP(H53,List!A:B, 2, FALSE), "")</f>
        <v/>
      </c>
      <c r="K53" t="str">
        <f t="shared" si="0"/>
        <v/>
      </c>
      <c r="L53" t="str">
        <f t="shared" si="1"/>
        <v/>
      </c>
      <c r="M53" t="str">
        <f t="shared" si="2"/>
        <v/>
      </c>
    </row>
    <row r="54" spans="8:13" x14ac:dyDescent="0.3">
      <c r="H54" t="str">
        <f t="shared" si="3"/>
        <v/>
      </c>
      <c r="I54" t="str">
        <f>IFERROR(VLOOKUP(H54,List!A:B, 2, FALSE), "")</f>
        <v/>
      </c>
      <c r="K54" t="str">
        <f t="shared" si="0"/>
        <v/>
      </c>
      <c r="L54" t="str">
        <f t="shared" si="1"/>
        <v/>
      </c>
      <c r="M54" t="str">
        <f t="shared" si="2"/>
        <v/>
      </c>
    </row>
    <row r="55" spans="8:13" x14ac:dyDescent="0.3">
      <c r="H55" t="str">
        <f t="shared" si="3"/>
        <v/>
      </c>
      <c r="I55" t="str">
        <f>IFERROR(VLOOKUP(H55,List!A:B, 2, FALSE), "")</f>
        <v/>
      </c>
      <c r="K55" t="str">
        <f t="shared" si="0"/>
        <v/>
      </c>
      <c r="L55" t="str">
        <f t="shared" si="1"/>
        <v/>
      </c>
      <c r="M55" t="str">
        <f t="shared" si="2"/>
        <v/>
      </c>
    </row>
    <row r="56" spans="8:13" x14ac:dyDescent="0.3">
      <c r="H56" t="str">
        <f t="shared" si="3"/>
        <v/>
      </c>
      <c r="I56" t="str">
        <f>IFERROR(VLOOKUP(H56,List!A:B, 2, FALSE), "")</f>
        <v/>
      </c>
      <c r="K56" t="str">
        <f t="shared" si="0"/>
        <v/>
      </c>
      <c r="L56" t="str">
        <f t="shared" si="1"/>
        <v/>
      </c>
      <c r="M56" t="str">
        <f t="shared" si="2"/>
        <v/>
      </c>
    </row>
    <row r="57" spans="8:13" x14ac:dyDescent="0.3">
      <c r="H57" t="str">
        <f t="shared" si="3"/>
        <v/>
      </c>
      <c r="I57" t="str">
        <f>IFERROR(VLOOKUP(H57,List!A:B, 2, FALSE), "")</f>
        <v/>
      </c>
      <c r="K57" t="str">
        <f t="shared" si="0"/>
        <v/>
      </c>
      <c r="L57" t="str">
        <f t="shared" si="1"/>
        <v/>
      </c>
      <c r="M57" t="str">
        <f t="shared" si="2"/>
        <v/>
      </c>
    </row>
    <row r="58" spans="8:13" x14ac:dyDescent="0.3">
      <c r="H58" t="str">
        <f t="shared" si="3"/>
        <v/>
      </c>
      <c r="I58" t="str">
        <f>IFERROR(VLOOKUP(H58,List!A:B, 2, FALSE), "")</f>
        <v/>
      </c>
      <c r="K58" t="str">
        <f t="shared" si="0"/>
        <v/>
      </c>
      <c r="L58" t="str">
        <f t="shared" si="1"/>
        <v/>
      </c>
      <c r="M58" t="str">
        <f t="shared" si="2"/>
        <v/>
      </c>
    </row>
    <row r="59" spans="8:13" x14ac:dyDescent="0.3">
      <c r="H59" t="str">
        <f t="shared" si="3"/>
        <v/>
      </c>
      <c r="I59" t="str">
        <f>IFERROR(VLOOKUP(H59,List!A:B, 2, FALSE), "")</f>
        <v/>
      </c>
      <c r="K59" t="str">
        <f t="shared" si="0"/>
        <v/>
      </c>
      <c r="L59" t="str">
        <f t="shared" si="1"/>
        <v/>
      </c>
      <c r="M59" t="str">
        <f t="shared" si="2"/>
        <v/>
      </c>
    </row>
    <row r="60" spans="8:13" x14ac:dyDescent="0.3">
      <c r="H60" t="str">
        <f t="shared" si="3"/>
        <v/>
      </c>
      <c r="I60" t="str">
        <f>IFERROR(VLOOKUP(H60,List!A:B, 2, FALSE), "")</f>
        <v/>
      </c>
      <c r="K60" t="str">
        <f t="shared" si="0"/>
        <v/>
      </c>
      <c r="L60" t="str">
        <f t="shared" si="1"/>
        <v/>
      </c>
      <c r="M60" t="str">
        <f t="shared" si="2"/>
        <v/>
      </c>
    </row>
    <row r="61" spans="8:13" x14ac:dyDescent="0.3">
      <c r="H61" t="str">
        <f t="shared" si="3"/>
        <v/>
      </c>
      <c r="I61" t="str">
        <f>IFERROR(VLOOKUP(H61,List!A:B, 2, FALSE), "")</f>
        <v/>
      </c>
      <c r="K61" t="str">
        <f t="shared" si="0"/>
        <v/>
      </c>
      <c r="L61" t="str">
        <f t="shared" si="1"/>
        <v/>
      </c>
      <c r="M61" t="str">
        <f t="shared" si="2"/>
        <v/>
      </c>
    </row>
    <row r="62" spans="8:13" x14ac:dyDescent="0.3">
      <c r="H62" t="str">
        <f t="shared" si="3"/>
        <v/>
      </c>
      <c r="I62" t="str">
        <f>IFERROR(VLOOKUP(H62,List!A:B, 2, FALSE), "")</f>
        <v/>
      </c>
      <c r="K62" t="str">
        <f t="shared" si="0"/>
        <v/>
      </c>
      <c r="L62" t="str">
        <f t="shared" si="1"/>
        <v/>
      </c>
      <c r="M62" t="str">
        <f t="shared" si="2"/>
        <v/>
      </c>
    </row>
    <row r="63" spans="8:13" x14ac:dyDescent="0.3">
      <c r="H63" t="str">
        <f t="shared" si="3"/>
        <v/>
      </c>
      <c r="I63" t="str">
        <f>IFERROR(VLOOKUP(H63,List!A:B, 2, FALSE), "")</f>
        <v/>
      </c>
      <c r="K63" t="str">
        <f t="shared" si="0"/>
        <v/>
      </c>
      <c r="L63" t="str">
        <f t="shared" si="1"/>
        <v/>
      </c>
      <c r="M63" t="str">
        <f t="shared" si="2"/>
        <v/>
      </c>
    </row>
    <row r="64" spans="8:13" x14ac:dyDescent="0.3">
      <c r="H64" t="str">
        <f t="shared" si="3"/>
        <v/>
      </c>
      <c r="I64" t="str">
        <f>IFERROR(VLOOKUP(H64,List!A:B, 2, FALSE), "")</f>
        <v/>
      </c>
      <c r="K64" t="str">
        <f t="shared" si="0"/>
        <v/>
      </c>
      <c r="L64" t="str">
        <f t="shared" si="1"/>
        <v/>
      </c>
      <c r="M64" t="str">
        <f t="shared" si="2"/>
        <v/>
      </c>
    </row>
    <row r="65" spans="8:13" x14ac:dyDescent="0.3">
      <c r="H65" t="str">
        <f t="shared" si="3"/>
        <v/>
      </c>
      <c r="I65" t="str">
        <f>IFERROR(VLOOKUP(H65,List!A:B, 2, FALSE), "")</f>
        <v/>
      </c>
      <c r="K65" t="str">
        <f t="shared" si="0"/>
        <v/>
      </c>
      <c r="L65" t="str">
        <f t="shared" si="1"/>
        <v/>
      </c>
      <c r="M65" t="str">
        <f t="shared" si="2"/>
        <v/>
      </c>
    </row>
    <row r="66" spans="8:13" x14ac:dyDescent="0.3">
      <c r="H66" t="str">
        <f t="shared" si="3"/>
        <v/>
      </c>
      <c r="I66" t="str">
        <f>IFERROR(VLOOKUP(H66,List!A:B, 2, FALSE), "")</f>
        <v/>
      </c>
      <c r="K66" t="str">
        <f t="shared" si="0"/>
        <v/>
      </c>
      <c r="L66" t="str">
        <f t="shared" si="1"/>
        <v/>
      </c>
      <c r="M66" t="str">
        <f t="shared" si="2"/>
        <v/>
      </c>
    </row>
    <row r="67" spans="8:13" x14ac:dyDescent="0.3">
      <c r="H67" t="str">
        <f t="shared" si="3"/>
        <v/>
      </c>
      <c r="I67" t="str">
        <f>IFERROR(VLOOKUP(H67,List!A:B, 2, FALSE), "")</f>
        <v/>
      </c>
      <c r="K67" t="str">
        <f t="shared" ref="K67:K130" si="4">SUBSTITUTE(SUBSTITUTE(SUBSTITUTE(SUBSTITUTE(C67,"-",""),"+",""),"p:","")," ","")</f>
        <v/>
      </c>
      <c r="L67" t="str">
        <f t="shared" ref="L67:L130" si="5">K67</f>
        <v/>
      </c>
      <c r="M67" t="str">
        <f t="shared" ref="M67:M130" si="6">IF(LEFT(L67, 2) = "91", RIGHT(L67, LEN(L67) - 2),
 IF(LEFT(L67, 3) = "971", RIGHT(L67, LEN(L67) - 3),
  IF(LEFT(L67, 2) = "92", RIGHT(L67, LEN(L67) - 2),
   IF(LEFT(L67, 3) = "974", RIGHT(L67, LEN(L67) - 3),
    IF(LEFT(L67, 2) = "60", RIGHT(L67, LEN(L67) - 2),
     IF(LEFT(L67, 2) = "65", RIGHT(L67, LEN(L67) - 2),
      IF(LEFT(L67, 3) = "966", RIGHT(L67, LEN(L67) - 3),
       IF(LEFT(L67, 3) = "967", RIGHT(L67, LEN(L67) - 3),
        IF(LEFT(L67, 3) = "968", RIGHT(L67, LEN(L67) - 3),
         IF(LEFT(L67, 3) = "249", RIGHT(L67, LEN(L67) - 3),
          IF(LEFT(L67, 3) = "213", RIGHT(L67, LEN(L67) - 3),
           IF(LEFT(L67, 3) = "965", RIGHT(L67, LEN(L67) - 3),
            IF(LEFT(L67, 3) = "1", RIGHT(L67, LEN(L67) - 1),
             IF(LEFT(L67, 3) = "973", RIGHT(L67, LEN(L67) - 3),
              IF(LEFT(L67, 3) = "233", RIGHT(L67, LEN(L67) - 3),
               IF(LEFT(L67, 3) = "977", RIGHT(L67, LEN(L67) - 3),
                IF(LEFT(L67, 2) = "20", RIGHT(L67, LEN(L67) - 2),
                 L67
                )
               )
              )
             )
            )
           )
          )
         )
        )
       )
      )
     )
    )
   )
  )
 )
)</f>
        <v/>
      </c>
    </row>
    <row r="68" spans="8:13" x14ac:dyDescent="0.3">
      <c r="H68" t="str">
        <f t="shared" si="3"/>
        <v/>
      </c>
      <c r="I68" t="str">
        <f>IFERROR(VLOOKUP(H68,List!A:B, 2, FALSE), "")</f>
        <v/>
      </c>
      <c r="K68" t="str">
        <f t="shared" si="4"/>
        <v/>
      </c>
      <c r="L68" t="str">
        <f t="shared" si="5"/>
        <v/>
      </c>
      <c r="M68" t="str">
        <f t="shared" si="6"/>
        <v/>
      </c>
    </row>
    <row r="69" spans="8:13" x14ac:dyDescent="0.3">
      <c r="H69" t="str">
        <f t="shared" si="3"/>
        <v/>
      </c>
      <c r="I69" t="str">
        <f>IFERROR(VLOOKUP(H69,List!A:B, 2, FALSE), "")</f>
        <v/>
      </c>
      <c r="K69" t="str">
        <f t="shared" si="4"/>
        <v/>
      </c>
      <c r="L69" t="str">
        <f t="shared" si="5"/>
        <v/>
      </c>
      <c r="M69" t="str">
        <f t="shared" si="6"/>
        <v/>
      </c>
    </row>
    <row r="70" spans="8:13" x14ac:dyDescent="0.3">
      <c r="H70" t="str">
        <f t="shared" si="3"/>
        <v/>
      </c>
      <c r="I70" t="str">
        <f>IFERROR(VLOOKUP(H70,List!A:B, 2, FALSE), "")</f>
        <v/>
      </c>
      <c r="K70" t="str">
        <f t="shared" si="4"/>
        <v/>
      </c>
      <c r="L70" t="str">
        <f t="shared" si="5"/>
        <v/>
      </c>
      <c r="M70" t="str">
        <f t="shared" si="6"/>
        <v/>
      </c>
    </row>
    <row r="71" spans="8:13" x14ac:dyDescent="0.3">
      <c r="H71" t="str">
        <f t="shared" ref="H71:H134" si="7">IF(N71=0,"","")</f>
        <v/>
      </c>
      <c r="I71" t="str">
        <f>IFERROR(VLOOKUP(H71,List!A:B, 2, FALSE), "")</f>
        <v/>
      </c>
      <c r="K71" t="str">
        <f t="shared" si="4"/>
        <v/>
      </c>
      <c r="L71" t="str">
        <f t="shared" si="5"/>
        <v/>
      </c>
      <c r="M71" t="str">
        <f t="shared" si="6"/>
        <v/>
      </c>
    </row>
    <row r="72" spans="8:13" x14ac:dyDescent="0.3">
      <c r="H72" t="str">
        <f t="shared" si="7"/>
        <v/>
      </c>
      <c r="I72" t="str">
        <f>IFERROR(VLOOKUP(H72,List!A:B, 2, FALSE), "")</f>
        <v/>
      </c>
      <c r="K72" t="str">
        <f t="shared" si="4"/>
        <v/>
      </c>
      <c r="L72" t="str">
        <f t="shared" si="5"/>
        <v/>
      </c>
      <c r="M72" t="str">
        <f t="shared" si="6"/>
        <v/>
      </c>
    </row>
    <row r="73" spans="8:13" x14ac:dyDescent="0.3">
      <c r="H73" t="str">
        <f t="shared" si="7"/>
        <v/>
      </c>
      <c r="I73" t="str">
        <f>IFERROR(VLOOKUP(H73,List!A:B, 2, FALSE), "")</f>
        <v/>
      </c>
      <c r="K73" t="str">
        <f t="shared" si="4"/>
        <v/>
      </c>
      <c r="L73" t="str">
        <f t="shared" si="5"/>
        <v/>
      </c>
      <c r="M73" t="str">
        <f t="shared" si="6"/>
        <v/>
      </c>
    </row>
    <row r="74" spans="8:13" x14ac:dyDescent="0.3">
      <c r="H74" t="str">
        <f t="shared" si="7"/>
        <v/>
      </c>
      <c r="I74" t="str">
        <f>IFERROR(VLOOKUP(H74,List!A:B, 2, FALSE), "")</f>
        <v/>
      </c>
      <c r="K74" t="str">
        <f t="shared" si="4"/>
        <v/>
      </c>
      <c r="L74" t="str">
        <f t="shared" si="5"/>
        <v/>
      </c>
      <c r="M74" t="str">
        <f t="shared" si="6"/>
        <v/>
      </c>
    </row>
    <row r="75" spans="8:13" x14ac:dyDescent="0.3">
      <c r="H75" t="str">
        <f t="shared" si="7"/>
        <v/>
      </c>
      <c r="I75" t="str">
        <f>IFERROR(VLOOKUP(H75,List!A:B, 2, FALSE), "")</f>
        <v/>
      </c>
      <c r="K75" t="str">
        <f t="shared" si="4"/>
        <v/>
      </c>
      <c r="L75" t="str">
        <f t="shared" si="5"/>
        <v/>
      </c>
      <c r="M75" t="str">
        <f t="shared" si="6"/>
        <v/>
      </c>
    </row>
    <row r="76" spans="8:13" x14ac:dyDescent="0.3">
      <c r="H76" t="str">
        <f t="shared" si="7"/>
        <v/>
      </c>
      <c r="I76" t="str">
        <f>IFERROR(VLOOKUP(H76,List!A:B, 2, FALSE), "")</f>
        <v/>
      </c>
      <c r="K76" t="str">
        <f t="shared" si="4"/>
        <v/>
      </c>
      <c r="L76" t="str">
        <f t="shared" si="5"/>
        <v/>
      </c>
      <c r="M76" t="str">
        <f t="shared" si="6"/>
        <v/>
      </c>
    </row>
    <row r="77" spans="8:13" x14ac:dyDescent="0.3">
      <c r="H77" t="str">
        <f t="shared" si="7"/>
        <v/>
      </c>
      <c r="I77" t="str">
        <f>IFERROR(VLOOKUP(H77,List!A:B, 2, FALSE), "")</f>
        <v/>
      </c>
      <c r="K77" t="str">
        <f t="shared" si="4"/>
        <v/>
      </c>
      <c r="L77" t="str">
        <f t="shared" si="5"/>
        <v/>
      </c>
      <c r="M77" t="str">
        <f t="shared" si="6"/>
        <v/>
      </c>
    </row>
    <row r="78" spans="8:13" x14ac:dyDescent="0.3">
      <c r="H78" t="str">
        <f t="shared" si="7"/>
        <v/>
      </c>
      <c r="I78" t="str">
        <f>IFERROR(VLOOKUP(H78,List!A:B, 2, FALSE), "")</f>
        <v/>
      </c>
      <c r="K78" t="str">
        <f t="shared" si="4"/>
        <v/>
      </c>
      <c r="L78" t="str">
        <f t="shared" si="5"/>
        <v/>
      </c>
      <c r="M78" t="str">
        <f t="shared" si="6"/>
        <v/>
      </c>
    </row>
    <row r="79" spans="8:13" x14ac:dyDescent="0.3">
      <c r="H79" t="str">
        <f t="shared" si="7"/>
        <v/>
      </c>
      <c r="I79" t="str">
        <f>IFERROR(VLOOKUP(H79,List!A:B, 2, FALSE), "")</f>
        <v/>
      </c>
      <c r="K79" t="str">
        <f t="shared" si="4"/>
        <v/>
      </c>
      <c r="L79" t="str">
        <f t="shared" si="5"/>
        <v/>
      </c>
      <c r="M79" t="str">
        <f t="shared" si="6"/>
        <v/>
      </c>
    </row>
    <row r="80" spans="8:13" x14ac:dyDescent="0.3">
      <c r="H80" t="str">
        <f t="shared" si="7"/>
        <v/>
      </c>
      <c r="I80" t="str">
        <f>IFERROR(VLOOKUP(H80,List!A:B, 2, FALSE), "")</f>
        <v/>
      </c>
      <c r="K80" t="str">
        <f t="shared" si="4"/>
        <v/>
      </c>
      <c r="L80" t="str">
        <f t="shared" si="5"/>
        <v/>
      </c>
      <c r="M80" t="str">
        <f t="shared" si="6"/>
        <v/>
      </c>
    </row>
    <row r="81" spans="8:13" x14ac:dyDescent="0.3">
      <c r="H81" t="str">
        <f t="shared" si="7"/>
        <v/>
      </c>
      <c r="I81" t="str">
        <f>IFERROR(VLOOKUP(H81,List!A:B, 2, FALSE), "")</f>
        <v/>
      </c>
      <c r="K81" t="str">
        <f t="shared" si="4"/>
        <v/>
      </c>
      <c r="L81" t="str">
        <f t="shared" si="5"/>
        <v/>
      </c>
      <c r="M81" t="str">
        <f t="shared" si="6"/>
        <v/>
      </c>
    </row>
    <row r="82" spans="8:13" x14ac:dyDescent="0.3">
      <c r="H82" t="str">
        <f t="shared" si="7"/>
        <v/>
      </c>
      <c r="I82" t="str">
        <f>IFERROR(VLOOKUP(H82,List!A:B, 2, FALSE), "")</f>
        <v/>
      </c>
      <c r="K82" t="str">
        <f t="shared" si="4"/>
        <v/>
      </c>
      <c r="L82" t="str">
        <f t="shared" si="5"/>
        <v/>
      </c>
      <c r="M82" t="str">
        <f t="shared" si="6"/>
        <v/>
      </c>
    </row>
    <row r="83" spans="8:13" x14ac:dyDescent="0.3">
      <c r="H83" t="str">
        <f t="shared" si="7"/>
        <v/>
      </c>
      <c r="I83" t="str">
        <f>IFERROR(VLOOKUP(H83,List!A:B, 2, FALSE), "")</f>
        <v/>
      </c>
      <c r="K83" t="str">
        <f t="shared" si="4"/>
        <v/>
      </c>
      <c r="L83" t="str">
        <f t="shared" si="5"/>
        <v/>
      </c>
      <c r="M83" t="str">
        <f t="shared" si="6"/>
        <v/>
      </c>
    </row>
    <row r="84" spans="8:13" x14ac:dyDescent="0.3">
      <c r="H84" t="str">
        <f t="shared" si="7"/>
        <v/>
      </c>
      <c r="I84" t="str">
        <f>IFERROR(VLOOKUP(H84,List!A:B, 2, FALSE), "")</f>
        <v/>
      </c>
      <c r="K84" t="str">
        <f t="shared" si="4"/>
        <v/>
      </c>
      <c r="L84" t="str">
        <f t="shared" si="5"/>
        <v/>
      </c>
      <c r="M84" t="str">
        <f t="shared" si="6"/>
        <v/>
      </c>
    </row>
    <row r="85" spans="8:13" x14ac:dyDescent="0.3">
      <c r="H85" t="str">
        <f t="shared" si="7"/>
        <v/>
      </c>
      <c r="I85" t="str">
        <f>IFERROR(VLOOKUP(H85,List!A:B, 2, FALSE), "")</f>
        <v/>
      </c>
      <c r="K85" t="str">
        <f t="shared" si="4"/>
        <v/>
      </c>
      <c r="L85" t="str">
        <f t="shared" si="5"/>
        <v/>
      </c>
      <c r="M85" t="str">
        <f t="shared" si="6"/>
        <v/>
      </c>
    </row>
    <row r="86" spans="8:13" x14ac:dyDescent="0.3">
      <c r="H86" t="str">
        <f t="shared" si="7"/>
        <v/>
      </c>
      <c r="I86" t="str">
        <f>IFERROR(VLOOKUP(H86,List!A:B, 2, FALSE), "")</f>
        <v/>
      </c>
      <c r="K86" t="str">
        <f t="shared" si="4"/>
        <v/>
      </c>
      <c r="L86" t="str">
        <f t="shared" si="5"/>
        <v/>
      </c>
      <c r="M86" t="str">
        <f t="shared" si="6"/>
        <v/>
      </c>
    </row>
    <row r="87" spans="8:13" x14ac:dyDescent="0.3">
      <c r="H87" t="str">
        <f t="shared" si="7"/>
        <v/>
      </c>
      <c r="I87" t="str">
        <f>IFERROR(VLOOKUP(H87,List!A:B, 2, FALSE), "")</f>
        <v/>
      </c>
      <c r="K87" t="str">
        <f t="shared" si="4"/>
        <v/>
      </c>
      <c r="L87" t="str">
        <f t="shared" si="5"/>
        <v/>
      </c>
      <c r="M87" t="str">
        <f t="shared" si="6"/>
        <v/>
      </c>
    </row>
    <row r="88" spans="8:13" x14ac:dyDescent="0.3">
      <c r="H88" t="str">
        <f t="shared" si="7"/>
        <v/>
      </c>
      <c r="I88" t="str">
        <f>IFERROR(VLOOKUP(H88,List!A:B, 2, FALSE), "")</f>
        <v/>
      </c>
      <c r="K88" t="str">
        <f t="shared" si="4"/>
        <v/>
      </c>
      <c r="L88" t="str">
        <f t="shared" si="5"/>
        <v/>
      </c>
      <c r="M88" t="str">
        <f t="shared" si="6"/>
        <v/>
      </c>
    </row>
    <row r="89" spans="8:13" x14ac:dyDescent="0.3">
      <c r="H89" t="str">
        <f t="shared" si="7"/>
        <v/>
      </c>
      <c r="I89" t="str">
        <f>IFERROR(VLOOKUP(H89,List!A:B, 2, FALSE), "")</f>
        <v/>
      </c>
      <c r="K89" t="str">
        <f t="shared" si="4"/>
        <v/>
      </c>
      <c r="L89" t="str">
        <f t="shared" si="5"/>
        <v/>
      </c>
      <c r="M89" t="str">
        <f t="shared" si="6"/>
        <v/>
      </c>
    </row>
    <row r="90" spans="8:13" x14ac:dyDescent="0.3">
      <c r="H90" t="str">
        <f t="shared" si="7"/>
        <v/>
      </c>
      <c r="I90" t="str">
        <f>IFERROR(VLOOKUP(H90,List!A:B, 2, FALSE), "")</f>
        <v/>
      </c>
      <c r="K90" t="str">
        <f t="shared" si="4"/>
        <v/>
      </c>
      <c r="L90" t="str">
        <f t="shared" si="5"/>
        <v/>
      </c>
      <c r="M90" t="str">
        <f t="shared" si="6"/>
        <v/>
      </c>
    </row>
    <row r="91" spans="8:13" x14ac:dyDescent="0.3">
      <c r="H91" t="str">
        <f t="shared" si="7"/>
        <v/>
      </c>
      <c r="I91" t="str">
        <f>IFERROR(VLOOKUP(H91,List!A:B, 2, FALSE), "")</f>
        <v/>
      </c>
      <c r="K91" t="str">
        <f t="shared" si="4"/>
        <v/>
      </c>
      <c r="L91" t="str">
        <f t="shared" si="5"/>
        <v/>
      </c>
      <c r="M91" t="str">
        <f t="shared" si="6"/>
        <v/>
      </c>
    </row>
    <row r="92" spans="8:13" x14ac:dyDescent="0.3">
      <c r="H92" t="str">
        <f t="shared" si="7"/>
        <v/>
      </c>
      <c r="I92" t="str">
        <f>IFERROR(VLOOKUP(H92,List!A:B, 2, FALSE), "")</f>
        <v/>
      </c>
      <c r="K92" t="str">
        <f t="shared" si="4"/>
        <v/>
      </c>
      <c r="L92" t="str">
        <f t="shared" si="5"/>
        <v/>
      </c>
      <c r="M92" t="str">
        <f t="shared" si="6"/>
        <v/>
      </c>
    </row>
    <row r="93" spans="8:13" x14ac:dyDescent="0.3">
      <c r="H93" t="str">
        <f t="shared" si="7"/>
        <v/>
      </c>
      <c r="I93" t="str">
        <f>IFERROR(VLOOKUP(H93,List!A:B, 2, FALSE), "")</f>
        <v/>
      </c>
      <c r="K93" t="str">
        <f t="shared" si="4"/>
        <v/>
      </c>
      <c r="L93" t="str">
        <f t="shared" si="5"/>
        <v/>
      </c>
      <c r="M93" t="str">
        <f t="shared" si="6"/>
        <v/>
      </c>
    </row>
    <row r="94" spans="8:13" x14ac:dyDescent="0.3">
      <c r="H94" t="str">
        <f t="shared" si="7"/>
        <v/>
      </c>
      <c r="I94" t="str">
        <f>IFERROR(VLOOKUP(H94,List!A:B, 2, FALSE), "")</f>
        <v/>
      </c>
      <c r="K94" t="str">
        <f t="shared" si="4"/>
        <v/>
      </c>
      <c r="L94" t="str">
        <f t="shared" si="5"/>
        <v/>
      </c>
      <c r="M94" t="str">
        <f t="shared" si="6"/>
        <v/>
      </c>
    </row>
    <row r="95" spans="8:13" x14ac:dyDescent="0.3">
      <c r="H95" t="str">
        <f t="shared" si="7"/>
        <v/>
      </c>
      <c r="I95" t="str">
        <f>IFERROR(VLOOKUP(H95,List!A:B, 2, FALSE), "")</f>
        <v/>
      </c>
      <c r="K95" t="str">
        <f t="shared" si="4"/>
        <v/>
      </c>
      <c r="L95" t="str">
        <f t="shared" si="5"/>
        <v/>
      </c>
      <c r="M95" t="str">
        <f t="shared" si="6"/>
        <v/>
      </c>
    </row>
    <row r="96" spans="8:13" x14ac:dyDescent="0.3">
      <c r="H96" t="str">
        <f t="shared" si="7"/>
        <v/>
      </c>
      <c r="I96" t="str">
        <f>IFERROR(VLOOKUP(H96,List!A:B, 2, FALSE), "")</f>
        <v/>
      </c>
      <c r="K96" t="str">
        <f t="shared" si="4"/>
        <v/>
      </c>
      <c r="L96" t="str">
        <f t="shared" si="5"/>
        <v/>
      </c>
      <c r="M96" t="str">
        <f t="shared" si="6"/>
        <v/>
      </c>
    </row>
    <row r="97" spans="8:13" x14ac:dyDescent="0.3">
      <c r="H97" t="str">
        <f t="shared" si="7"/>
        <v/>
      </c>
      <c r="I97" t="str">
        <f>IFERROR(VLOOKUP(H97,List!A:B, 2, FALSE), "")</f>
        <v/>
      </c>
      <c r="K97" t="str">
        <f t="shared" si="4"/>
        <v/>
      </c>
      <c r="L97" t="str">
        <f t="shared" si="5"/>
        <v/>
      </c>
      <c r="M97" t="str">
        <f t="shared" si="6"/>
        <v/>
      </c>
    </row>
    <row r="98" spans="8:13" x14ac:dyDescent="0.3">
      <c r="H98" t="str">
        <f t="shared" si="7"/>
        <v/>
      </c>
      <c r="I98" t="str">
        <f>IFERROR(VLOOKUP(H98,List!A:B, 2, FALSE), "")</f>
        <v/>
      </c>
      <c r="K98" t="str">
        <f t="shared" si="4"/>
        <v/>
      </c>
      <c r="L98" t="str">
        <f t="shared" si="5"/>
        <v/>
      </c>
      <c r="M98" t="str">
        <f t="shared" si="6"/>
        <v/>
      </c>
    </row>
    <row r="99" spans="8:13" x14ac:dyDescent="0.3">
      <c r="H99" t="str">
        <f t="shared" si="7"/>
        <v/>
      </c>
      <c r="I99" t="str">
        <f>IFERROR(VLOOKUP(H99,List!A:B, 2, FALSE), "")</f>
        <v/>
      </c>
      <c r="K99" t="str">
        <f t="shared" si="4"/>
        <v/>
      </c>
      <c r="L99" t="str">
        <f t="shared" si="5"/>
        <v/>
      </c>
      <c r="M99" t="str">
        <f t="shared" si="6"/>
        <v/>
      </c>
    </row>
    <row r="100" spans="8:13" x14ac:dyDescent="0.3">
      <c r="H100" t="str">
        <f t="shared" si="7"/>
        <v/>
      </c>
      <c r="I100" t="str">
        <f>IFERROR(VLOOKUP(H100,List!A:B, 2, FALSE), "")</f>
        <v/>
      </c>
      <c r="K100" t="str">
        <f t="shared" si="4"/>
        <v/>
      </c>
      <c r="L100" t="str">
        <f t="shared" si="5"/>
        <v/>
      </c>
      <c r="M100" t="str">
        <f t="shared" si="6"/>
        <v/>
      </c>
    </row>
    <row r="101" spans="8:13" x14ac:dyDescent="0.3">
      <c r="H101" t="str">
        <f t="shared" si="7"/>
        <v/>
      </c>
      <c r="I101" t="str">
        <f>IFERROR(VLOOKUP(H101,List!A:B, 2, FALSE), "")</f>
        <v/>
      </c>
      <c r="K101" t="str">
        <f t="shared" si="4"/>
        <v/>
      </c>
      <c r="L101" t="str">
        <f t="shared" si="5"/>
        <v/>
      </c>
      <c r="M101" t="str">
        <f t="shared" si="6"/>
        <v/>
      </c>
    </row>
    <row r="102" spans="8:13" x14ac:dyDescent="0.3">
      <c r="H102" t="str">
        <f t="shared" si="7"/>
        <v/>
      </c>
      <c r="I102" t="str">
        <f>IFERROR(VLOOKUP(H102,List!A:B, 2, FALSE), "")</f>
        <v/>
      </c>
      <c r="K102" t="str">
        <f t="shared" si="4"/>
        <v/>
      </c>
      <c r="L102" t="str">
        <f t="shared" si="5"/>
        <v/>
      </c>
      <c r="M102" t="str">
        <f t="shared" si="6"/>
        <v/>
      </c>
    </row>
    <row r="103" spans="8:13" x14ac:dyDescent="0.3">
      <c r="H103" t="str">
        <f t="shared" si="7"/>
        <v/>
      </c>
      <c r="I103" t="str">
        <f>IFERROR(VLOOKUP(H103,List!A:B, 2, FALSE), "")</f>
        <v/>
      </c>
      <c r="K103" t="str">
        <f t="shared" si="4"/>
        <v/>
      </c>
      <c r="L103" t="str">
        <f t="shared" si="5"/>
        <v/>
      </c>
      <c r="M103" t="str">
        <f t="shared" si="6"/>
        <v/>
      </c>
    </row>
    <row r="104" spans="8:13" x14ac:dyDescent="0.3">
      <c r="H104" t="str">
        <f t="shared" si="7"/>
        <v/>
      </c>
      <c r="I104" t="str">
        <f>IFERROR(VLOOKUP(H104,List!A:B, 2, FALSE), "")</f>
        <v/>
      </c>
      <c r="K104" t="str">
        <f t="shared" si="4"/>
        <v/>
      </c>
      <c r="L104" t="str">
        <f t="shared" si="5"/>
        <v/>
      </c>
      <c r="M104" t="str">
        <f t="shared" si="6"/>
        <v/>
      </c>
    </row>
    <row r="105" spans="8:13" x14ac:dyDescent="0.3">
      <c r="H105" t="str">
        <f t="shared" si="7"/>
        <v/>
      </c>
      <c r="I105" t="str">
        <f>IFERROR(VLOOKUP(H105,List!A:B, 2, FALSE), "")</f>
        <v/>
      </c>
      <c r="K105" t="str">
        <f t="shared" si="4"/>
        <v/>
      </c>
      <c r="L105" t="str">
        <f t="shared" si="5"/>
        <v/>
      </c>
      <c r="M105" t="str">
        <f t="shared" si="6"/>
        <v/>
      </c>
    </row>
    <row r="106" spans="8:13" x14ac:dyDescent="0.3">
      <c r="H106" t="str">
        <f t="shared" si="7"/>
        <v/>
      </c>
      <c r="I106" t="str">
        <f>IFERROR(VLOOKUP(H106,List!A:B, 2, FALSE), "")</f>
        <v/>
      </c>
      <c r="K106" t="str">
        <f t="shared" si="4"/>
        <v/>
      </c>
      <c r="L106" t="str">
        <f t="shared" si="5"/>
        <v/>
      </c>
      <c r="M106" t="str">
        <f t="shared" si="6"/>
        <v/>
      </c>
    </row>
    <row r="107" spans="8:13" x14ac:dyDescent="0.3">
      <c r="H107" t="str">
        <f t="shared" si="7"/>
        <v/>
      </c>
      <c r="I107" t="str">
        <f>IFERROR(VLOOKUP(H107,List!A:B, 2, FALSE), "")</f>
        <v/>
      </c>
      <c r="K107" t="str">
        <f t="shared" si="4"/>
        <v/>
      </c>
      <c r="L107" t="str">
        <f t="shared" si="5"/>
        <v/>
      </c>
      <c r="M107" t="str">
        <f t="shared" si="6"/>
        <v/>
      </c>
    </row>
    <row r="108" spans="8:13" x14ac:dyDescent="0.3">
      <c r="H108" t="str">
        <f t="shared" si="7"/>
        <v/>
      </c>
      <c r="I108" t="str">
        <f>IFERROR(VLOOKUP(H108,List!A:B, 2, FALSE), "")</f>
        <v/>
      </c>
      <c r="K108" t="str">
        <f t="shared" si="4"/>
        <v/>
      </c>
      <c r="L108" t="str">
        <f t="shared" si="5"/>
        <v/>
      </c>
      <c r="M108" t="str">
        <f t="shared" si="6"/>
        <v/>
      </c>
    </row>
    <row r="109" spans="8:13" x14ac:dyDescent="0.3">
      <c r="H109" t="str">
        <f t="shared" si="7"/>
        <v/>
      </c>
      <c r="I109" t="str">
        <f>IFERROR(VLOOKUP(H109,List!A:B, 2, FALSE), "")</f>
        <v/>
      </c>
      <c r="K109" t="str">
        <f t="shared" si="4"/>
        <v/>
      </c>
      <c r="L109" t="str">
        <f t="shared" si="5"/>
        <v/>
      </c>
      <c r="M109" t="str">
        <f t="shared" si="6"/>
        <v/>
      </c>
    </row>
    <row r="110" spans="8:13" x14ac:dyDescent="0.3">
      <c r="H110" t="str">
        <f t="shared" si="7"/>
        <v/>
      </c>
      <c r="I110" t="str">
        <f>IFERROR(VLOOKUP(H110,List!A:B, 2, FALSE), "")</f>
        <v/>
      </c>
      <c r="K110" t="str">
        <f t="shared" si="4"/>
        <v/>
      </c>
      <c r="L110" t="str">
        <f t="shared" si="5"/>
        <v/>
      </c>
      <c r="M110" t="str">
        <f t="shared" si="6"/>
        <v/>
      </c>
    </row>
    <row r="111" spans="8:13" x14ac:dyDescent="0.3">
      <c r="H111" t="str">
        <f t="shared" si="7"/>
        <v/>
      </c>
      <c r="I111" t="str">
        <f>IFERROR(VLOOKUP(H111,List!A:B, 2, FALSE), "")</f>
        <v/>
      </c>
      <c r="K111" t="str">
        <f t="shared" si="4"/>
        <v/>
      </c>
      <c r="L111" t="str">
        <f t="shared" si="5"/>
        <v/>
      </c>
      <c r="M111" t="str">
        <f t="shared" si="6"/>
        <v/>
      </c>
    </row>
    <row r="112" spans="8:13" x14ac:dyDescent="0.3">
      <c r="H112" t="str">
        <f t="shared" si="7"/>
        <v/>
      </c>
      <c r="I112" t="str">
        <f>IFERROR(VLOOKUP(H112,List!A:B, 2, FALSE), "")</f>
        <v/>
      </c>
      <c r="K112" t="str">
        <f t="shared" si="4"/>
        <v/>
      </c>
      <c r="L112" t="str">
        <f t="shared" si="5"/>
        <v/>
      </c>
      <c r="M112" t="str">
        <f t="shared" si="6"/>
        <v/>
      </c>
    </row>
    <row r="113" spans="8:13" x14ac:dyDescent="0.3">
      <c r="H113" t="str">
        <f t="shared" si="7"/>
        <v/>
      </c>
      <c r="I113" t="str">
        <f>IFERROR(VLOOKUP(H113,List!A:B, 2, FALSE), "")</f>
        <v/>
      </c>
      <c r="K113" t="str">
        <f t="shared" si="4"/>
        <v/>
      </c>
      <c r="L113" t="str">
        <f t="shared" si="5"/>
        <v/>
      </c>
      <c r="M113" t="str">
        <f t="shared" si="6"/>
        <v/>
      </c>
    </row>
    <row r="114" spans="8:13" x14ac:dyDescent="0.3">
      <c r="H114" t="str">
        <f t="shared" si="7"/>
        <v/>
      </c>
      <c r="I114" t="str">
        <f>IFERROR(VLOOKUP(H114,List!A:B, 2, FALSE), "")</f>
        <v/>
      </c>
      <c r="K114" t="str">
        <f t="shared" si="4"/>
        <v/>
      </c>
      <c r="L114" t="str">
        <f t="shared" si="5"/>
        <v/>
      </c>
      <c r="M114" t="str">
        <f t="shared" si="6"/>
        <v/>
      </c>
    </row>
    <row r="115" spans="8:13" x14ac:dyDescent="0.3">
      <c r="H115" t="str">
        <f t="shared" si="7"/>
        <v/>
      </c>
      <c r="I115" t="str">
        <f>IFERROR(VLOOKUP(H115,List!A:B, 2, FALSE), "")</f>
        <v/>
      </c>
      <c r="K115" t="str">
        <f t="shared" si="4"/>
        <v/>
      </c>
      <c r="L115" t="str">
        <f t="shared" si="5"/>
        <v/>
      </c>
      <c r="M115" t="str">
        <f t="shared" si="6"/>
        <v/>
      </c>
    </row>
    <row r="116" spans="8:13" x14ac:dyDescent="0.3">
      <c r="H116" t="str">
        <f t="shared" si="7"/>
        <v/>
      </c>
      <c r="I116" t="str">
        <f>IFERROR(VLOOKUP(H116,List!A:B, 2, FALSE), "")</f>
        <v/>
      </c>
      <c r="K116" t="str">
        <f t="shared" si="4"/>
        <v/>
      </c>
      <c r="L116" t="str">
        <f t="shared" si="5"/>
        <v/>
      </c>
      <c r="M116" t="str">
        <f t="shared" si="6"/>
        <v/>
      </c>
    </row>
    <row r="117" spans="8:13" x14ac:dyDescent="0.3">
      <c r="H117" t="str">
        <f t="shared" si="7"/>
        <v/>
      </c>
      <c r="I117" t="str">
        <f>IFERROR(VLOOKUP(H117,List!A:B, 2, FALSE), "")</f>
        <v/>
      </c>
      <c r="K117" t="str">
        <f t="shared" si="4"/>
        <v/>
      </c>
      <c r="L117" t="str">
        <f t="shared" si="5"/>
        <v/>
      </c>
      <c r="M117" t="str">
        <f t="shared" si="6"/>
        <v/>
      </c>
    </row>
    <row r="118" spans="8:13" x14ac:dyDescent="0.3">
      <c r="H118" t="str">
        <f t="shared" si="7"/>
        <v/>
      </c>
      <c r="I118" t="str">
        <f>IFERROR(VLOOKUP(H118,List!A:B, 2, FALSE), "")</f>
        <v/>
      </c>
      <c r="K118" t="str">
        <f t="shared" si="4"/>
        <v/>
      </c>
      <c r="L118" t="str">
        <f t="shared" si="5"/>
        <v/>
      </c>
      <c r="M118" t="str">
        <f t="shared" si="6"/>
        <v/>
      </c>
    </row>
    <row r="119" spans="8:13" x14ac:dyDescent="0.3">
      <c r="H119" t="str">
        <f t="shared" si="7"/>
        <v/>
      </c>
      <c r="I119" t="str">
        <f>IFERROR(VLOOKUP(H119,List!A:B, 2, FALSE), "")</f>
        <v/>
      </c>
      <c r="K119" t="str">
        <f t="shared" si="4"/>
        <v/>
      </c>
      <c r="L119" t="str">
        <f t="shared" si="5"/>
        <v/>
      </c>
      <c r="M119" t="str">
        <f t="shared" si="6"/>
        <v/>
      </c>
    </row>
    <row r="120" spans="8:13" x14ac:dyDescent="0.3">
      <c r="H120" t="str">
        <f t="shared" si="7"/>
        <v/>
      </c>
      <c r="I120" t="str">
        <f>IFERROR(VLOOKUP(H120,List!A:B, 2, FALSE), "")</f>
        <v/>
      </c>
      <c r="K120" t="str">
        <f t="shared" si="4"/>
        <v/>
      </c>
      <c r="L120" t="str">
        <f t="shared" si="5"/>
        <v/>
      </c>
      <c r="M120" t="str">
        <f t="shared" si="6"/>
        <v/>
      </c>
    </row>
    <row r="121" spans="8:13" x14ac:dyDescent="0.3">
      <c r="H121" t="str">
        <f t="shared" si="7"/>
        <v/>
      </c>
      <c r="I121" t="str">
        <f>IFERROR(VLOOKUP(H121,List!A:B, 2, FALSE), "")</f>
        <v/>
      </c>
      <c r="K121" t="str">
        <f t="shared" si="4"/>
        <v/>
      </c>
      <c r="L121" t="str">
        <f t="shared" si="5"/>
        <v/>
      </c>
      <c r="M121" t="str">
        <f t="shared" si="6"/>
        <v/>
      </c>
    </row>
    <row r="122" spans="8:13" x14ac:dyDescent="0.3">
      <c r="H122" t="str">
        <f t="shared" si="7"/>
        <v/>
      </c>
      <c r="I122" t="str">
        <f>IFERROR(VLOOKUP(H122,List!A:B, 2, FALSE), "")</f>
        <v/>
      </c>
      <c r="K122" t="str">
        <f t="shared" si="4"/>
        <v/>
      </c>
      <c r="L122" t="str">
        <f t="shared" si="5"/>
        <v/>
      </c>
      <c r="M122" t="str">
        <f t="shared" si="6"/>
        <v/>
      </c>
    </row>
    <row r="123" spans="8:13" x14ac:dyDescent="0.3">
      <c r="H123" t="str">
        <f t="shared" si="7"/>
        <v/>
      </c>
      <c r="I123" t="str">
        <f>IFERROR(VLOOKUP(H123,List!A:B, 2, FALSE), "")</f>
        <v/>
      </c>
      <c r="K123" t="str">
        <f t="shared" si="4"/>
        <v/>
      </c>
      <c r="L123" t="str">
        <f t="shared" si="5"/>
        <v/>
      </c>
      <c r="M123" t="str">
        <f t="shared" si="6"/>
        <v/>
      </c>
    </row>
    <row r="124" spans="8:13" x14ac:dyDescent="0.3">
      <c r="H124" t="str">
        <f t="shared" si="7"/>
        <v/>
      </c>
      <c r="I124" t="str">
        <f>IFERROR(VLOOKUP(H124,List!A:B, 2, FALSE), "")</f>
        <v/>
      </c>
      <c r="K124" t="str">
        <f t="shared" si="4"/>
        <v/>
      </c>
      <c r="L124" t="str">
        <f t="shared" si="5"/>
        <v/>
      </c>
      <c r="M124" t="str">
        <f t="shared" si="6"/>
        <v/>
      </c>
    </row>
    <row r="125" spans="8:13" x14ac:dyDescent="0.3">
      <c r="H125" t="str">
        <f t="shared" si="7"/>
        <v/>
      </c>
      <c r="I125" t="str">
        <f>IFERROR(VLOOKUP(H125,List!A:B, 2, FALSE), "")</f>
        <v/>
      </c>
      <c r="K125" t="str">
        <f t="shared" si="4"/>
        <v/>
      </c>
      <c r="L125" t="str">
        <f t="shared" si="5"/>
        <v/>
      </c>
      <c r="M125" t="str">
        <f t="shared" si="6"/>
        <v/>
      </c>
    </row>
    <row r="126" spans="8:13" x14ac:dyDescent="0.3">
      <c r="H126" t="str">
        <f t="shared" si="7"/>
        <v/>
      </c>
      <c r="I126" t="str">
        <f>IFERROR(VLOOKUP(H126,List!A:B, 2, FALSE), "")</f>
        <v/>
      </c>
      <c r="K126" t="str">
        <f t="shared" si="4"/>
        <v/>
      </c>
      <c r="L126" t="str">
        <f t="shared" si="5"/>
        <v/>
      </c>
      <c r="M126" t="str">
        <f t="shared" si="6"/>
        <v/>
      </c>
    </row>
    <row r="127" spans="8:13" x14ac:dyDescent="0.3">
      <c r="H127" t="str">
        <f t="shared" si="7"/>
        <v/>
      </c>
      <c r="I127" t="str">
        <f>IFERROR(VLOOKUP(H127,List!A:B, 2, FALSE), "")</f>
        <v/>
      </c>
      <c r="K127" t="str">
        <f t="shared" si="4"/>
        <v/>
      </c>
      <c r="L127" t="str">
        <f t="shared" si="5"/>
        <v/>
      </c>
      <c r="M127" t="str">
        <f t="shared" si="6"/>
        <v/>
      </c>
    </row>
    <row r="128" spans="8:13" x14ac:dyDescent="0.3">
      <c r="H128" t="str">
        <f t="shared" si="7"/>
        <v/>
      </c>
      <c r="I128" t="str">
        <f>IFERROR(VLOOKUP(H128,List!A:B, 2, FALSE), "")</f>
        <v/>
      </c>
      <c r="K128" t="str">
        <f t="shared" si="4"/>
        <v/>
      </c>
      <c r="L128" t="str">
        <f t="shared" si="5"/>
        <v/>
      </c>
      <c r="M128" t="str">
        <f t="shared" si="6"/>
        <v/>
      </c>
    </row>
    <row r="129" spans="8:13" x14ac:dyDescent="0.3">
      <c r="H129" t="str">
        <f t="shared" si="7"/>
        <v/>
      </c>
      <c r="I129" t="str">
        <f>IFERROR(VLOOKUP(H129,List!A:B, 2, FALSE), "")</f>
        <v/>
      </c>
      <c r="K129" t="str">
        <f t="shared" si="4"/>
        <v/>
      </c>
      <c r="L129" t="str">
        <f t="shared" si="5"/>
        <v/>
      </c>
      <c r="M129" t="str">
        <f t="shared" si="6"/>
        <v/>
      </c>
    </row>
    <row r="130" spans="8:13" x14ac:dyDescent="0.3">
      <c r="H130" t="str">
        <f t="shared" si="7"/>
        <v/>
      </c>
      <c r="I130" t="str">
        <f>IFERROR(VLOOKUP(H130,List!A:B, 2, FALSE), "")</f>
        <v/>
      </c>
      <c r="K130" t="str">
        <f t="shared" si="4"/>
        <v/>
      </c>
      <c r="L130" t="str">
        <f t="shared" si="5"/>
        <v/>
      </c>
      <c r="M130" t="str">
        <f t="shared" si="6"/>
        <v/>
      </c>
    </row>
    <row r="131" spans="8:13" x14ac:dyDescent="0.3">
      <c r="H131" t="str">
        <f t="shared" si="7"/>
        <v/>
      </c>
      <c r="I131" t="str">
        <f>IFERROR(VLOOKUP(H131,List!A:B, 2, FALSE), "")</f>
        <v/>
      </c>
      <c r="K131" t="str">
        <f t="shared" ref="K131:K194" si="8">SUBSTITUTE(SUBSTITUTE(SUBSTITUTE(SUBSTITUTE(C131,"-",""),"+",""),"p:","")," ","")</f>
        <v/>
      </c>
      <c r="L131" t="str">
        <f t="shared" ref="L131:L194" si="9">K131</f>
        <v/>
      </c>
      <c r="M131" t="str">
        <f t="shared" ref="M131:M194" si="10">IF(LEFT(L131, 2) = "91", RIGHT(L131, LEN(L131) - 2),
 IF(LEFT(L131, 3) = "971", RIGHT(L131, LEN(L131) - 3),
  IF(LEFT(L131, 2) = "92", RIGHT(L131, LEN(L131) - 2),
   IF(LEFT(L131, 3) = "974", RIGHT(L131, LEN(L131) - 3),
    IF(LEFT(L131, 2) = "60", RIGHT(L131, LEN(L131) - 2),
     IF(LEFT(L131, 2) = "65", RIGHT(L131, LEN(L131) - 2),
      IF(LEFT(L131, 3) = "966", RIGHT(L131, LEN(L131) - 3),
       IF(LEFT(L131, 3) = "967", RIGHT(L131, LEN(L131) - 3),
        IF(LEFT(L131, 3) = "968", RIGHT(L131, LEN(L131) - 3),
         IF(LEFT(L131, 3) = "249", RIGHT(L131, LEN(L131) - 3),
          IF(LEFT(L131, 3) = "213", RIGHT(L131, LEN(L131) - 3),
           IF(LEFT(L131, 3) = "965", RIGHT(L131, LEN(L131) - 3),
            IF(LEFT(L131, 3) = "1", RIGHT(L131, LEN(L131) - 1),
             IF(LEFT(L131, 3) = "973", RIGHT(L131, LEN(L131) - 3),
              IF(LEFT(L131, 3) = "233", RIGHT(L131, LEN(L131) - 3),
               IF(LEFT(L131, 3) = "977", RIGHT(L131, LEN(L131) - 3),
                IF(LEFT(L131, 2) = "20", RIGHT(L131, LEN(L131) - 2),
                 L131
                )
               )
              )
             )
            )
           )
          )
         )
        )
       )
      )
     )
    )
   )
  )
 )
)</f>
        <v/>
      </c>
    </row>
    <row r="132" spans="8:13" x14ac:dyDescent="0.3">
      <c r="H132" t="str">
        <f t="shared" si="7"/>
        <v/>
      </c>
      <c r="I132" t="str">
        <f>IFERROR(VLOOKUP(H132,List!A:B, 2, FALSE), "")</f>
        <v/>
      </c>
      <c r="K132" t="str">
        <f t="shared" si="8"/>
        <v/>
      </c>
      <c r="L132" t="str">
        <f t="shared" si="9"/>
        <v/>
      </c>
      <c r="M132" t="str">
        <f t="shared" si="10"/>
        <v/>
      </c>
    </row>
    <row r="133" spans="8:13" x14ac:dyDescent="0.3">
      <c r="H133" t="str">
        <f t="shared" si="7"/>
        <v/>
      </c>
      <c r="I133" t="str">
        <f>IFERROR(VLOOKUP(H133,List!A:B, 2, FALSE), "")</f>
        <v/>
      </c>
      <c r="K133" t="str">
        <f t="shared" si="8"/>
        <v/>
      </c>
      <c r="L133" t="str">
        <f t="shared" si="9"/>
        <v/>
      </c>
      <c r="M133" t="str">
        <f t="shared" si="10"/>
        <v/>
      </c>
    </row>
    <row r="134" spans="8:13" x14ac:dyDescent="0.3">
      <c r="H134" t="str">
        <f t="shared" si="7"/>
        <v/>
      </c>
      <c r="I134" t="str">
        <f>IFERROR(VLOOKUP(H134,List!A:B, 2, FALSE), "")</f>
        <v/>
      </c>
      <c r="K134" t="str">
        <f t="shared" si="8"/>
        <v/>
      </c>
      <c r="L134" t="str">
        <f t="shared" si="9"/>
        <v/>
      </c>
      <c r="M134" t="str">
        <f t="shared" si="10"/>
        <v/>
      </c>
    </row>
    <row r="135" spans="8:13" x14ac:dyDescent="0.3">
      <c r="H135" t="str">
        <f t="shared" ref="H135:H198" si="11">IF(N135=0,"","")</f>
        <v/>
      </c>
      <c r="I135" t="str">
        <f>IFERROR(VLOOKUP(H135,List!A:B, 2, FALSE), "")</f>
        <v/>
      </c>
      <c r="K135" t="str">
        <f t="shared" si="8"/>
        <v/>
      </c>
      <c r="L135" t="str">
        <f t="shared" si="9"/>
        <v/>
      </c>
      <c r="M135" t="str">
        <f t="shared" si="10"/>
        <v/>
      </c>
    </row>
    <row r="136" spans="8:13" x14ac:dyDescent="0.3">
      <c r="H136" t="str">
        <f t="shared" si="11"/>
        <v/>
      </c>
      <c r="I136" t="str">
        <f>IFERROR(VLOOKUP(H136,List!A:B, 2, FALSE), "")</f>
        <v/>
      </c>
      <c r="K136" t="str">
        <f t="shared" si="8"/>
        <v/>
      </c>
      <c r="L136" t="str">
        <f t="shared" si="9"/>
        <v/>
      </c>
      <c r="M136" t="str">
        <f t="shared" si="10"/>
        <v/>
      </c>
    </row>
    <row r="137" spans="8:13" x14ac:dyDescent="0.3">
      <c r="H137" t="str">
        <f t="shared" si="11"/>
        <v/>
      </c>
      <c r="I137" t="str">
        <f>IFERROR(VLOOKUP(H137,List!A:B, 2, FALSE), "")</f>
        <v/>
      </c>
      <c r="K137" t="str">
        <f t="shared" si="8"/>
        <v/>
      </c>
      <c r="L137" t="str">
        <f t="shared" si="9"/>
        <v/>
      </c>
      <c r="M137" t="str">
        <f t="shared" si="10"/>
        <v/>
      </c>
    </row>
    <row r="138" spans="8:13" x14ac:dyDescent="0.3">
      <c r="H138" t="str">
        <f t="shared" si="11"/>
        <v/>
      </c>
      <c r="I138" t="str">
        <f>IFERROR(VLOOKUP(H138,List!A:B, 2, FALSE), "")</f>
        <v/>
      </c>
      <c r="K138" t="str">
        <f t="shared" si="8"/>
        <v/>
      </c>
      <c r="L138" t="str">
        <f t="shared" si="9"/>
        <v/>
      </c>
      <c r="M138" t="str">
        <f t="shared" si="10"/>
        <v/>
      </c>
    </row>
    <row r="139" spans="8:13" x14ac:dyDescent="0.3">
      <c r="H139" t="str">
        <f t="shared" si="11"/>
        <v/>
      </c>
      <c r="I139" t="str">
        <f>IFERROR(VLOOKUP(H139,List!A:B, 2, FALSE), "")</f>
        <v/>
      </c>
      <c r="K139" t="str">
        <f t="shared" si="8"/>
        <v/>
      </c>
      <c r="L139" t="str">
        <f t="shared" si="9"/>
        <v/>
      </c>
      <c r="M139" t="str">
        <f t="shared" si="10"/>
        <v/>
      </c>
    </row>
    <row r="140" spans="8:13" x14ac:dyDescent="0.3">
      <c r="H140" t="str">
        <f t="shared" si="11"/>
        <v/>
      </c>
      <c r="I140" t="str">
        <f>IFERROR(VLOOKUP(H140,List!A:B, 2, FALSE), "")</f>
        <v/>
      </c>
      <c r="K140" t="str">
        <f t="shared" si="8"/>
        <v/>
      </c>
      <c r="L140" t="str">
        <f t="shared" si="9"/>
        <v/>
      </c>
      <c r="M140" t="str">
        <f t="shared" si="10"/>
        <v/>
      </c>
    </row>
    <row r="141" spans="8:13" x14ac:dyDescent="0.3">
      <c r="H141" t="str">
        <f t="shared" si="11"/>
        <v/>
      </c>
      <c r="I141" t="str">
        <f>IFERROR(VLOOKUP(H141,List!A:B, 2, FALSE), "")</f>
        <v/>
      </c>
      <c r="K141" t="str">
        <f t="shared" si="8"/>
        <v/>
      </c>
      <c r="L141" t="str">
        <f t="shared" si="9"/>
        <v/>
      </c>
      <c r="M141" t="str">
        <f t="shared" si="10"/>
        <v/>
      </c>
    </row>
    <row r="142" spans="8:13" x14ac:dyDescent="0.3">
      <c r="H142" t="str">
        <f t="shared" si="11"/>
        <v/>
      </c>
      <c r="I142" t="str">
        <f>IFERROR(VLOOKUP(H142,List!A:B, 2, FALSE), "")</f>
        <v/>
      </c>
      <c r="K142" t="str">
        <f t="shared" si="8"/>
        <v/>
      </c>
      <c r="L142" t="str">
        <f t="shared" si="9"/>
        <v/>
      </c>
      <c r="M142" t="str">
        <f t="shared" si="10"/>
        <v/>
      </c>
    </row>
    <row r="143" spans="8:13" x14ac:dyDescent="0.3">
      <c r="H143" t="str">
        <f t="shared" si="11"/>
        <v/>
      </c>
      <c r="I143" t="str">
        <f>IFERROR(VLOOKUP(H143,List!A:B, 2, FALSE), "")</f>
        <v/>
      </c>
      <c r="K143" t="str">
        <f t="shared" si="8"/>
        <v/>
      </c>
      <c r="L143" t="str">
        <f t="shared" si="9"/>
        <v/>
      </c>
      <c r="M143" t="str">
        <f t="shared" si="10"/>
        <v/>
      </c>
    </row>
    <row r="144" spans="8:13" x14ac:dyDescent="0.3">
      <c r="H144" t="str">
        <f t="shared" si="11"/>
        <v/>
      </c>
      <c r="I144" t="str">
        <f>IFERROR(VLOOKUP(H144,List!A:B, 2, FALSE), "")</f>
        <v/>
      </c>
      <c r="K144" t="str">
        <f t="shared" si="8"/>
        <v/>
      </c>
      <c r="L144" t="str">
        <f t="shared" si="9"/>
        <v/>
      </c>
      <c r="M144" t="str">
        <f t="shared" si="10"/>
        <v/>
      </c>
    </row>
    <row r="145" spans="8:13" x14ac:dyDescent="0.3">
      <c r="H145" t="str">
        <f t="shared" si="11"/>
        <v/>
      </c>
      <c r="I145" t="str">
        <f>IFERROR(VLOOKUP(H145,List!A:B, 2, FALSE), "")</f>
        <v/>
      </c>
      <c r="K145" t="str">
        <f t="shared" si="8"/>
        <v/>
      </c>
      <c r="L145" t="str">
        <f t="shared" si="9"/>
        <v/>
      </c>
      <c r="M145" t="str">
        <f t="shared" si="10"/>
        <v/>
      </c>
    </row>
    <row r="146" spans="8:13" x14ac:dyDescent="0.3">
      <c r="H146" t="str">
        <f t="shared" si="11"/>
        <v/>
      </c>
      <c r="I146" t="str">
        <f>IFERROR(VLOOKUP(H146,List!A:B, 2, FALSE), "")</f>
        <v/>
      </c>
      <c r="K146" t="str">
        <f t="shared" si="8"/>
        <v/>
      </c>
      <c r="L146" t="str">
        <f t="shared" si="9"/>
        <v/>
      </c>
      <c r="M146" t="str">
        <f t="shared" si="10"/>
        <v/>
      </c>
    </row>
    <row r="147" spans="8:13" x14ac:dyDescent="0.3">
      <c r="H147" t="str">
        <f t="shared" si="11"/>
        <v/>
      </c>
      <c r="I147" t="str">
        <f>IFERROR(VLOOKUP(H147,List!A:B, 2, FALSE), "")</f>
        <v/>
      </c>
      <c r="K147" t="str">
        <f t="shared" si="8"/>
        <v/>
      </c>
      <c r="L147" t="str">
        <f t="shared" si="9"/>
        <v/>
      </c>
      <c r="M147" t="str">
        <f t="shared" si="10"/>
        <v/>
      </c>
    </row>
    <row r="148" spans="8:13" x14ac:dyDescent="0.3">
      <c r="H148" t="str">
        <f t="shared" si="11"/>
        <v/>
      </c>
      <c r="I148" t="str">
        <f>IFERROR(VLOOKUP(H148,List!A:B, 2, FALSE), "")</f>
        <v/>
      </c>
      <c r="K148" t="str">
        <f t="shared" si="8"/>
        <v/>
      </c>
      <c r="L148" t="str">
        <f t="shared" si="9"/>
        <v/>
      </c>
      <c r="M148" t="str">
        <f t="shared" si="10"/>
        <v/>
      </c>
    </row>
    <row r="149" spans="8:13" x14ac:dyDescent="0.3">
      <c r="H149" t="str">
        <f t="shared" si="11"/>
        <v/>
      </c>
      <c r="I149" t="str">
        <f>IFERROR(VLOOKUP(H149,List!A:B, 2, FALSE), "")</f>
        <v/>
      </c>
      <c r="K149" t="str">
        <f t="shared" si="8"/>
        <v/>
      </c>
      <c r="L149" t="str">
        <f t="shared" si="9"/>
        <v/>
      </c>
      <c r="M149" t="str">
        <f t="shared" si="10"/>
        <v/>
      </c>
    </row>
    <row r="150" spans="8:13" x14ac:dyDescent="0.3">
      <c r="H150" t="str">
        <f t="shared" si="11"/>
        <v/>
      </c>
      <c r="I150" t="str">
        <f>IFERROR(VLOOKUP(H150,List!A:B, 2, FALSE), "")</f>
        <v/>
      </c>
      <c r="K150" t="str">
        <f t="shared" si="8"/>
        <v/>
      </c>
      <c r="L150" t="str">
        <f t="shared" si="9"/>
        <v/>
      </c>
      <c r="M150" t="str">
        <f t="shared" si="10"/>
        <v/>
      </c>
    </row>
    <row r="151" spans="8:13" x14ac:dyDescent="0.3">
      <c r="H151" t="str">
        <f t="shared" si="11"/>
        <v/>
      </c>
      <c r="I151" t="str">
        <f>IFERROR(VLOOKUP(H151,List!A:B, 2, FALSE), "")</f>
        <v/>
      </c>
      <c r="K151" t="str">
        <f t="shared" si="8"/>
        <v/>
      </c>
      <c r="L151" t="str">
        <f t="shared" si="9"/>
        <v/>
      </c>
      <c r="M151" t="str">
        <f t="shared" si="10"/>
        <v/>
      </c>
    </row>
    <row r="152" spans="8:13" x14ac:dyDescent="0.3">
      <c r="H152" t="str">
        <f t="shared" si="11"/>
        <v/>
      </c>
      <c r="I152" t="str">
        <f>IFERROR(VLOOKUP(H152,List!A:B, 2, FALSE), "")</f>
        <v/>
      </c>
      <c r="K152" t="str">
        <f t="shared" si="8"/>
        <v/>
      </c>
      <c r="L152" t="str">
        <f t="shared" si="9"/>
        <v/>
      </c>
      <c r="M152" t="str">
        <f t="shared" si="10"/>
        <v/>
      </c>
    </row>
    <row r="153" spans="8:13" x14ac:dyDescent="0.3">
      <c r="H153" t="str">
        <f t="shared" si="11"/>
        <v/>
      </c>
      <c r="I153" t="str">
        <f>IFERROR(VLOOKUP(H153,List!A:B, 2, FALSE), "")</f>
        <v/>
      </c>
      <c r="K153" t="str">
        <f t="shared" si="8"/>
        <v/>
      </c>
      <c r="L153" t="str">
        <f t="shared" si="9"/>
        <v/>
      </c>
      <c r="M153" t="str">
        <f t="shared" si="10"/>
        <v/>
      </c>
    </row>
    <row r="154" spans="8:13" x14ac:dyDescent="0.3">
      <c r="H154" t="str">
        <f t="shared" si="11"/>
        <v/>
      </c>
      <c r="I154" t="str">
        <f>IFERROR(VLOOKUP(H154,List!A:B, 2, FALSE), "")</f>
        <v/>
      </c>
      <c r="K154" t="str">
        <f t="shared" si="8"/>
        <v/>
      </c>
      <c r="L154" t="str">
        <f t="shared" si="9"/>
        <v/>
      </c>
      <c r="M154" t="str">
        <f t="shared" si="10"/>
        <v/>
      </c>
    </row>
    <row r="155" spans="8:13" x14ac:dyDescent="0.3">
      <c r="H155" t="str">
        <f t="shared" si="11"/>
        <v/>
      </c>
      <c r="I155" t="str">
        <f>IFERROR(VLOOKUP(H155,List!A:B, 2, FALSE), "")</f>
        <v/>
      </c>
      <c r="K155" t="str">
        <f t="shared" si="8"/>
        <v/>
      </c>
      <c r="L155" t="str">
        <f t="shared" si="9"/>
        <v/>
      </c>
      <c r="M155" t="str">
        <f t="shared" si="10"/>
        <v/>
      </c>
    </row>
    <row r="156" spans="8:13" x14ac:dyDescent="0.3">
      <c r="H156" t="str">
        <f t="shared" si="11"/>
        <v/>
      </c>
      <c r="I156" t="str">
        <f>IFERROR(VLOOKUP(H156,List!A:B, 2, FALSE), "")</f>
        <v/>
      </c>
      <c r="K156" t="str">
        <f t="shared" si="8"/>
        <v/>
      </c>
      <c r="L156" t="str">
        <f t="shared" si="9"/>
        <v/>
      </c>
      <c r="M156" t="str">
        <f t="shared" si="10"/>
        <v/>
      </c>
    </row>
    <row r="157" spans="8:13" x14ac:dyDescent="0.3">
      <c r="H157" t="str">
        <f t="shared" si="11"/>
        <v/>
      </c>
      <c r="I157" t="str">
        <f>IFERROR(VLOOKUP(H157,List!A:B, 2, FALSE), "")</f>
        <v/>
      </c>
      <c r="K157" t="str">
        <f t="shared" si="8"/>
        <v/>
      </c>
      <c r="L157" t="str">
        <f t="shared" si="9"/>
        <v/>
      </c>
      <c r="M157" t="str">
        <f t="shared" si="10"/>
        <v/>
      </c>
    </row>
    <row r="158" spans="8:13" x14ac:dyDescent="0.3">
      <c r="H158" t="str">
        <f t="shared" si="11"/>
        <v/>
      </c>
      <c r="I158" t="str">
        <f>IFERROR(VLOOKUP(H158,List!A:B, 2, FALSE), "")</f>
        <v/>
      </c>
      <c r="K158" t="str">
        <f t="shared" si="8"/>
        <v/>
      </c>
      <c r="L158" t="str">
        <f t="shared" si="9"/>
        <v/>
      </c>
      <c r="M158" t="str">
        <f t="shared" si="10"/>
        <v/>
      </c>
    </row>
    <row r="159" spans="8:13" x14ac:dyDescent="0.3">
      <c r="H159" t="str">
        <f t="shared" si="11"/>
        <v/>
      </c>
      <c r="I159" t="str">
        <f>IFERROR(VLOOKUP(H159,List!A:B, 2, FALSE), "")</f>
        <v/>
      </c>
      <c r="K159" t="str">
        <f t="shared" si="8"/>
        <v/>
      </c>
      <c r="L159" t="str">
        <f t="shared" si="9"/>
        <v/>
      </c>
      <c r="M159" t="str">
        <f t="shared" si="10"/>
        <v/>
      </c>
    </row>
    <row r="160" spans="8:13" x14ac:dyDescent="0.3">
      <c r="H160" t="str">
        <f t="shared" si="11"/>
        <v/>
      </c>
      <c r="I160" t="str">
        <f>IFERROR(VLOOKUP(H160,List!A:B, 2, FALSE), "")</f>
        <v/>
      </c>
      <c r="K160" t="str">
        <f t="shared" si="8"/>
        <v/>
      </c>
      <c r="L160" t="str">
        <f t="shared" si="9"/>
        <v/>
      </c>
      <c r="M160" t="str">
        <f t="shared" si="10"/>
        <v/>
      </c>
    </row>
    <row r="161" spans="8:13" x14ac:dyDescent="0.3">
      <c r="H161" t="str">
        <f t="shared" si="11"/>
        <v/>
      </c>
      <c r="I161" t="str">
        <f>IFERROR(VLOOKUP(H161,List!A:B, 2, FALSE), "")</f>
        <v/>
      </c>
      <c r="K161" t="str">
        <f t="shared" si="8"/>
        <v/>
      </c>
      <c r="L161" t="str">
        <f t="shared" si="9"/>
        <v/>
      </c>
      <c r="M161" t="str">
        <f t="shared" si="10"/>
        <v/>
      </c>
    </row>
    <row r="162" spans="8:13" x14ac:dyDescent="0.3">
      <c r="H162" t="str">
        <f t="shared" si="11"/>
        <v/>
      </c>
      <c r="I162" t="str">
        <f>IFERROR(VLOOKUP(H162,List!A:B, 2, FALSE), "")</f>
        <v/>
      </c>
      <c r="K162" t="str">
        <f t="shared" si="8"/>
        <v/>
      </c>
      <c r="L162" t="str">
        <f t="shared" si="9"/>
        <v/>
      </c>
      <c r="M162" t="str">
        <f t="shared" si="10"/>
        <v/>
      </c>
    </row>
    <row r="163" spans="8:13" x14ac:dyDescent="0.3">
      <c r="H163" t="str">
        <f t="shared" si="11"/>
        <v/>
      </c>
      <c r="I163" t="str">
        <f>IFERROR(VLOOKUP(H163,List!A:B, 2, FALSE), "")</f>
        <v/>
      </c>
      <c r="K163" t="str">
        <f t="shared" si="8"/>
        <v/>
      </c>
      <c r="L163" t="str">
        <f t="shared" si="9"/>
        <v/>
      </c>
      <c r="M163" t="str">
        <f t="shared" si="10"/>
        <v/>
      </c>
    </row>
    <row r="164" spans="8:13" x14ac:dyDescent="0.3">
      <c r="H164" t="str">
        <f t="shared" si="11"/>
        <v/>
      </c>
      <c r="I164" t="str">
        <f>IFERROR(VLOOKUP(H164,List!A:B, 2, FALSE), "")</f>
        <v/>
      </c>
      <c r="K164" t="str">
        <f t="shared" si="8"/>
        <v/>
      </c>
      <c r="L164" t="str">
        <f t="shared" si="9"/>
        <v/>
      </c>
      <c r="M164" t="str">
        <f t="shared" si="10"/>
        <v/>
      </c>
    </row>
    <row r="165" spans="8:13" x14ac:dyDescent="0.3">
      <c r="H165" t="str">
        <f t="shared" si="11"/>
        <v/>
      </c>
      <c r="I165" t="str">
        <f>IFERROR(VLOOKUP(H165,List!A:B, 2, FALSE), "")</f>
        <v/>
      </c>
      <c r="K165" t="str">
        <f t="shared" si="8"/>
        <v/>
      </c>
      <c r="L165" t="str">
        <f t="shared" si="9"/>
        <v/>
      </c>
      <c r="M165" t="str">
        <f t="shared" si="10"/>
        <v/>
      </c>
    </row>
    <row r="166" spans="8:13" x14ac:dyDescent="0.3">
      <c r="H166" t="str">
        <f t="shared" si="11"/>
        <v/>
      </c>
      <c r="I166" t="str">
        <f>IFERROR(VLOOKUP(H166,List!A:B, 2, FALSE), "")</f>
        <v/>
      </c>
      <c r="K166" t="str">
        <f t="shared" si="8"/>
        <v/>
      </c>
      <c r="L166" t="str">
        <f t="shared" si="9"/>
        <v/>
      </c>
      <c r="M166" t="str">
        <f t="shared" si="10"/>
        <v/>
      </c>
    </row>
    <row r="167" spans="8:13" x14ac:dyDescent="0.3">
      <c r="H167" t="str">
        <f t="shared" si="11"/>
        <v/>
      </c>
      <c r="I167" t="str">
        <f>IFERROR(VLOOKUP(H167,List!A:B, 2, FALSE), "")</f>
        <v/>
      </c>
      <c r="K167" t="str">
        <f t="shared" si="8"/>
        <v/>
      </c>
      <c r="L167" t="str">
        <f t="shared" si="9"/>
        <v/>
      </c>
      <c r="M167" t="str">
        <f t="shared" si="10"/>
        <v/>
      </c>
    </row>
    <row r="168" spans="8:13" x14ac:dyDescent="0.3">
      <c r="H168" t="str">
        <f t="shared" si="11"/>
        <v/>
      </c>
      <c r="I168" t="str">
        <f>IFERROR(VLOOKUP(H168,List!A:B, 2, FALSE), "")</f>
        <v/>
      </c>
      <c r="K168" t="str">
        <f t="shared" si="8"/>
        <v/>
      </c>
      <c r="L168" t="str">
        <f t="shared" si="9"/>
        <v/>
      </c>
      <c r="M168" t="str">
        <f t="shared" si="10"/>
        <v/>
      </c>
    </row>
    <row r="169" spans="8:13" x14ac:dyDescent="0.3">
      <c r="H169" t="str">
        <f t="shared" si="11"/>
        <v/>
      </c>
      <c r="I169" t="str">
        <f>IFERROR(VLOOKUP(H169,List!A:B, 2, FALSE), "")</f>
        <v/>
      </c>
      <c r="K169" t="str">
        <f t="shared" si="8"/>
        <v/>
      </c>
      <c r="L169" t="str">
        <f t="shared" si="9"/>
        <v/>
      </c>
      <c r="M169" t="str">
        <f t="shared" si="10"/>
        <v/>
      </c>
    </row>
    <row r="170" spans="8:13" x14ac:dyDescent="0.3">
      <c r="H170" t="str">
        <f t="shared" si="11"/>
        <v/>
      </c>
      <c r="I170" t="str">
        <f>IFERROR(VLOOKUP(H170,List!A:B, 2, FALSE), "")</f>
        <v/>
      </c>
      <c r="K170" t="str">
        <f t="shared" si="8"/>
        <v/>
      </c>
      <c r="L170" t="str">
        <f t="shared" si="9"/>
        <v/>
      </c>
      <c r="M170" t="str">
        <f t="shared" si="10"/>
        <v/>
      </c>
    </row>
    <row r="171" spans="8:13" x14ac:dyDescent="0.3">
      <c r="H171" t="str">
        <f t="shared" si="11"/>
        <v/>
      </c>
      <c r="I171" t="str">
        <f>IFERROR(VLOOKUP(H171,List!A:B, 2, FALSE), "")</f>
        <v/>
      </c>
      <c r="K171" t="str">
        <f t="shared" si="8"/>
        <v/>
      </c>
      <c r="L171" t="str">
        <f t="shared" si="9"/>
        <v/>
      </c>
      <c r="M171" t="str">
        <f t="shared" si="10"/>
        <v/>
      </c>
    </row>
    <row r="172" spans="8:13" x14ac:dyDescent="0.3">
      <c r="H172" t="str">
        <f t="shared" si="11"/>
        <v/>
      </c>
      <c r="I172" t="str">
        <f>IFERROR(VLOOKUP(H172,List!A:B, 2, FALSE), "")</f>
        <v/>
      </c>
      <c r="K172" t="str">
        <f t="shared" si="8"/>
        <v/>
      </c>
      <c r="L172" t="str">
        <f t="shared" si="9"/>
        <v/>
      </c>
      <c r="M172" t="str">
        <f t="shared" si="10"/>
        <v/>
      </c>
    </row>
    <row r="173" spans="8:13" x14ac:dyDescent="0.3">
      <c r="H173" t="str">
        <f t="shared" si="11"/>
        <v/>
      </c>
      <c r="I173" t="str">
        <f>IFERROR(VLOOKUP(H173,List!A:B, 2, FALSE), "")</f>
        <v/>
      </c>
      <c r="K173" t="str">
        <f t="shared" si="8"/>
        <v/>
      </c>
      <c r="L173" t="str">
        <f t="shared" si="9"/>
        <v/>
      </c>
      <c r="M173" t="str">
        <f t="shared" si="10"/>
        <v/>
      </c>
    </row>
    <row r="174" spans="8:13" x14ac:dyDescent="0.3">
      <c r="H174" t="str">
        <f t="shared" si="11"/>
        <v/>
      </c>
      <c r="I174" t="str">
        <f>IFERROR(VLOOKUP(H174,List!A:B, 2, FALSE), "")</f>
        <v/>
      </c>
      <c r="K174" t="str">
        <f t="shared" si="8"/>
        <v/>
      </c>
      <c r="L174" t="str">
        <f t="shared" si="9"/>
        <v/>
      </c>
      <c r="M174" t="str">
        <f t="shared" si="10"/>
        <v/>
      </c>
    </row>
    <row r="175" spans="8:13" x14ac:dyDescent="0.3">
      <c r="H175" t="str">
        <f t="shared" si="11"/>
        <v/>
      </c>
      <c r="I175" t="str">
        <f>IFERROR(VLOOKUP(H175,List!A:B, 2, FALSE), "")</f>
        <v/>
      </c>
      <c r="K175" t="str">
        <f t="shared" si="8"/>
        <v/>
      </c>
      <c r="L175" t="str">
        <f t="shared" si="9"/>
        <v/>
      </c>
      <c r="M175" t="str">
        <f t="shared" si="10"/>
        <v/>
      </c>
    </row>
    <row r="176" spans="8:13" x14ac:dyDescent="0.3">
      <c r="H176" t="str">
        <f t="shared" si="11"/>
        <v/>
      </c>
      <c r="I176" t="str">
        <f>IFERROR(VLOOKUP(H176,List!A:B, 2, FALSE), "")</f>
        <v/>
      </c>
      <c r="K176" t="str">
        <f t="shared" si="8"/>
        <v/>
      </c>
      <c r="L176" t="str">
        <f t="shared" si="9"/>
        <v/>
      </c>
      <c r="M176" t="str">
        <f t="shared" si="10"/>
        <v/>
      </c>
    </row>
    <row r="177" spans="8:13" x14ac:dyDescent="0.3">
      <c r="H177" t="str">
        <f t="shared" si="11"/>
        <v/>
      </c>
      <c r="I177" t="str">
        <f>IFERROR(VLOOKUP(H177,List!A:B, 2, FALSE), "")</f>
        <v/>
      </c>
      <c r="K177" t="str">
        <f t="shared" si="8"/>
        <v/>
      </c>
      <c r="L177" t="str">
        <f t="shared" si="9"/>
        <v/>
      </c>
      <c r="M177" t="str">
        <f t="shared" si="10"/>
        <v/>
      </c>
    </row>
    <row r="178" spans="8:13" x14ac:dyDescent="0.3">
      <c r="H178" t="str">
        <f t="shared" si="11"/>
        <v/>
      </c>
      <c r="I178" t="str">
        <f>IFERROR(VLOOKUP(H178,List!A:B, 2, FALSE), "")</f>
        <v/>
      </c>
      <c r="K178" t="str">
        <f t="shared" si="8"/>
        <v/>
      </c>
      <c r="L178" t="str">
        <f t="shared" si="9"/>
        <v/>
      </c>
      <c r="M178" t="str">
        <f t="shared" si="10"/>
        <v/>
      </c>
    </row>
    <row r="179" spans="8:13" x14ac:dyDescent="0.3">
      <c r="H179" t="str">
        <f t="shared" si="11"/>
        <v/>
      </c>
      <c r="I179" t="str">
        <f>IFERROR(VLOOKUP(H179,List!A:B, 2, FALSE), "")</f>
        <v/>
      </c>
      <c r="K179" t="str">
        <f t="shared" si="8"/>
        <v/>
      </c>
      <c r="L179" t="str">
        <f t="shared" si="9"/>
        <v/>
      </c>
      <c r="M179" t="str">
        <f t="shared" si="10"/>
        <v/>
      </c>
    </row>
    <row r="180" spans="8:13" x14ac:dyDescent="0.3">
      <c r="H180" t="str">
        <f t="shared" si="11"/>
        <v/>
      </c>
      <c r="I180" t="str">
        <f>IFERROR(VLOOKUP(H180,List!A:B, 2, FALSE), "")</f>
        <v/>
      </c>
      <c r="K180" t="str">
        <f t="shared" si="8"/>
        <v/>
      </c>
      <c r="L180" t="str">
        <f t="shared" si="9"/>
        <v/>
      </c>
      <c r="M180" t="str">
        <f t="shared" si="10"/>
        <v/>
      </c>
    </row>
    <row r="181" spans="8:13" x14ac:dyDescent="0.3">
      <c r="H181" t="str">
        <f t="shared" si="11"/>
        <v/>
      </c>
      <c r="I181" t="str">
        <f>IFERROR(VLOOKUP(H181,List!A:B, 2, FALSE), "")</f>
        <v/>
      </c>
      <c r="K181" t="str">
        <f t="shared" si="8"/>
        <v/>
      </c>
      <c r="L181" t="str">
        <f t="shared" si="9"/>
        <v/>
      </c>
      <c r="M181" t="str">
        <f t="shared" si="10"/>
        <v/>
      </c>
    </row>
    <row r="182" spans="8:13" x14ac:dyDescent="0.3">
      <c r="H182" t="str">
        <f t="shared" si="11"/>
        <v/>
      </c>
      <c r="I182" t="str">
        <f>IFERROR(VLOOKUP(H182,List!A:B, 2, FALSE), "")</f>
        <v/>
      </c>
      <c r="K182" t="str">
        <f t="shared" si="8"/>
        <v/>
      </c>
      <c r="L182" t="str">
        <f t="shared" si="9"/>
        <v/>
      </c>
      <c r="M182" t="str">
        <f t="shared" si="10"/>
        <v/>
      </c>
    </row>
    <row r="183" spans="8:13" x14ac:dyDescent="0.3">
      <c r="H183" t="str">
        <f t="shared" si="11"/>
        <v/>
      </c>
      <c r="I183" t="str">
        <f>IFERROR(VLOOKUP(H183,List!A:B, 2, FALSE), "")</f>
        <v/>
      </c>
      <c r="K183" t="str">
        <f t="shared" si="8"/>
        <v/>
      </c>
      <c r="L183" t="str">
        <f t="shared" si="9"/>
        <v/>
      </c>
      <c r="M183" t="str">
        <f t="shared" si="10"/>
        <v/>
      </c>
    </row>
    <row r="184" spans="8:13" x14ac:dyDescent="0.3">
      <c r="H184" t="str">
        <f t="shared" si="11"/>
        <v/>
      </c>
      <c r="I184" t="str">
        <f>IFERROR(VLOOKUP(H184,List!A:B, 2, FALSE), "")</f>
        <v/>
      </c>
      <c r="K184" t="str">
        <f t="shared" si="8"/>
        <v/>
      </c>
      <c r="L184" t="str">
        <f t="shared" si="9"/>
        <v/>
      </c>
      <c r="M184" t="str">
        <f t="shared" si="10"/>
        <v/>
      </c>
    </row>
    <row r="185" spans="8:13" x14ac:dyDescent="0.3">
      <c r="H185" t="str">
        <f t="shared" si="11"/>
        <v/>
      </c>
      <c r="I185" t="str">
        <f>IFERROR(VLOOKUP(H185,List!A:B, 2, FALSE), "")</f>
        <v/>
      </c>
      <c r="K185" t="str">
        <f t="shared" si="8"/>
        <v/>
      </c>
      <c r="L185" t="str">
        <f t="shared" si="9"/>
        <v/>
      </c>
      <c r="M185" t="str">
        <f t="shared" si="10"/>
        <v/>
      </c>
    </row>
    <row r="186" spans="8:13" x14ac:dyDescent="0.3">
      <c r="H186" t="str">
        <f t="shared" si="11"/>
        <v/>
      </c>
      <c r="I186" t="str">
        <f>IFERROR(VLOOKUP(H186,List!A:B, 2, FALSE), "")</f>
        <v/>
      </c>
      <c r="K186" t="str">
        <f t="shared" si="8"/>
        <v/>
      </c>
      <c r="L186" t="str">
        <f t="shared" si="9"/>
        <v/>
      </c>
      <c r="M186" t="str">
        <f t="shared" si="10"/>
        <v/>
      </c>
    </row>
    <row r="187" spans="8:13" x14ac:dyDescent="0.3">
      <c r="H187" t="str">
        <f t="shared" si="11"/>
        <v/>
      </c>
      <c r="I187" t="str">
        <f>IFERROR(VLOOKUP(H187,List!A:B, 2, FALSE), "")</f>
        <v/>
      </c>
      <c r="K187" t="str">
        <f t="shared" si="8"/>
        <v/>
      </c>
      <c r="L187" t="str">
        <f t="shared" si="9"/>
        <v/>
      </c>
      <c r="M187" t="str">
        <f t="shared" si="10"/>
        <v/>
      </c>
    </row>
    <row r="188" spans="8:13" x14ac:dyDescent="0.3">
      <c r="H188" t="str">
        <f t="shared" si="11"/>
        <v/>
      </c>
      <c r="I188" t="str">
        <f>IFERROR(VLOOKUP(H188,List!A:B, 2, FALSE), "")</f>
        <v/>
      </c>
      <c r="K188" t="str">
        <f t="shared" si="8"/>
        <v/>
      </c>
      <c r="L188" t="str">
        <f t="shared" si="9"/>
        <v/>
      </c>
      <c r="M188" t="str">
        <f t="shared" si="10"/>
        <v/>
      </c>
    </row>
    <row r="189" spans="8:13" x14ac:dyDescent="0.3">
      <c r="H189" t="str">
        <f t="shared" si="11"/>
        <v/>
      </c>
      <c r="I189" t="str">
        <f>IFERROR(VLOOKUP(H189,List!A:B, 2, FALSE), "")</f>
        <v/>
      </c>
      <c r="K189" t="str">
        <f t="shared" si="8"/>
        <v/>
      </c>
      <c r="L189" t="str">
        <f t="shared" si="9"/>
        <v/>
      </c>
      <c r="M189" t="str">
        <f t="shared" si="10"/>
        <v/>
      </c>
    </row>
    <row r="190" spans="8:13" x14ac:dyDescent="0.3">
      <c r="H190" t="str">
        <f t="shared" si="11"/>
        <v/>
      </c>
      <c r="I190" t="str">
        <f>IFERROR(VLOOKUP(H190,List!A:B, 2, FALSE), "")</f>
        <v/>
      </c>
      <c r="K190" t="str">
        <f t="shared" si="8"/>
        <v/>
      </c>
      <c r="L190" t="str">
        <f t="shared" si="9"/>
        <v/>
      </c>
      <c r="M190" t="str">
        <f t="shared" si="10"/>
        <v/>
      </c>
    </row>
    <row r="191" spans="8:13" x14ac:dyDescent="0.3">
      <c r="H191" t="str">
        <f t="shared" si="11"/>
        <v/>
      </c>
      <c r="I191" t="str">
        <f>IFERROR(VLOOKUP(H191,List!A:B, 2, FALSE), "")</f>
        <v/>
      </c>
      <c r="K191" t="str">
        <f t="shared" si="8"/>
        <v/>
      </c>
      <c r="L191" t="str">
        <f t="shared" si="9"/>
        <v/>
      </c>
      <c r="M191" t="str">
        <f t="shared" si="10"/>
        <v/>
      </c>
    </row>
    <row r="192" spans="8:13" x14ac:dyDescent="0.3">
      <c r="H192" t="str">
        <f t="shared" si="11"/>
        <v/>
      </c>
      <c r="I192" t="str">
        <f>IFERROR(VLOOKUP(H192,List!A:B, 2, FALSE), "")</f>
        <v/>
      </c>
      <c r="K192" t="str">
        <f t="shared" si="8"/>
        <v/>
      </c>
      <c r="L192" t="str">
        <f t="shared" si="9"/>
        <v/>
      </c>
      <c r="M192" t="str">
        <f t="shared" si="10"/>
        <v/>
      </c>
    </row>
    <row r="193" spans="8:13" x14ac:dyDescent="0.3">
      <c r="H193" t="str">
        <f t="shared" si="11"/>
        <v/>
      </c>
      <c r="I193" t="str">
        <f>IFERROR(VLOOKUP(H193,List!A:B, 2, FALSE), "")</f>
        <v/>
      </c>
      <c r="K193" t="str">
        <f t="shared" si="8"/>
        <v/>
      </c>
      <c r="L193" t="str">
        <f t="shared" si="9"/>
        <v/>
      </c>
      <c r="M193" t="str">
        <f t="shared" si="10"/>
        <v/>
      </c>
    </row>
    <row r="194" spans="8:13" x14ac:dyDescent="0.3">
      <c r="H194" t="str">
        <f t="shared" si="11"/>
        <v/>
      </c>
      <c r="I194" t="str">
        <f>IFERROR(VLOOKUP(H194,List!A:B, 2, FALSE), "")</f>
        <v/>
      </c>
      <c r="K194" t="str">
        <f t="shared" si="8"/>
        <v/>
      </c>
      <c r="L194" t="str">
        <f t="shared" si="9"/>
        <v/>
      </c>
      <c r="M194" t="str">
        <f t="shared" si="10"/>
        <v/>
      </c>
    </row>
    <row r="195" spans="8:13" x14ac:dyDescent="0.3">
      <c r="H195" t="str">
        <f t="shared" si="11"/>
        <v/>
      </c>
      <c r="I195" t="str">
        <f>IFERROR(VLOOKUP(H195,List!A:B, 2, FALSE), "")</f>
        <v/>
      </c>
      <c r="K195" t="str">
        <f t="shared" ref="K195:K258" si="12">SUBSTITUTE(SUBSTITUTE(SUBSTITUTE(SUBSTITUTE(C195,"-",""),"+",""),"p:","")," ","")</f>
        <v/>
      </c>
      <c r="L195" t="str">
        <f t="shared" ref="L195:L258" si="13">K195</f>
        <v/>
      </c>
      <c r="M195" t="str">
        <f t="shared" ref="M195:M258" si="14">IF(LEFT(L195, 2) = "91", RIGHT(L195, LEN(L195) - 2),
 IF(LEFT(L195, 3) = "971", RIGHT(L195, LEN(L195) - 3),
  IF(LEFT(L195, 2) = "92", RIGHT(L195, LEN(L195) - 2),
   IF(LEFT(L195, 3) = "974", RIGHT(L195, LEN(L195) - 3),
    IF(LEFT(L195, 2) = "60", RIGHT(L195, LEN(L195) - 2),
     IF(LEFT(L195, 2) = "65", RIGHT(L195, LEN(L195) - 2),
      IF(LEFT(L195, 3) = "966", RIGHT(L195, LEN(L195) - 3),
       IF(LEFT(L195, 3) = "967", RIGHT(L195, LEN(L195) - 3),
        IF(LEFT(L195, 3) = "968", RIGHT(L195, LEN(L195) - 3),
         IF(LEFT(L195, 3) = "249", RIGHT(L195, LEN(L195) - 3),
          IF(LEFT(L195, 3) = "213", RIGHT(L195, LEN(L195) - 3),
           IF(LEFT(L195, 3) = "965", RIGHT(L195, LEN(L195) - 3),
            IF(LEFT(L195, 3) = "1", RIGHT(L195, LEN(L195) - 1),
             IF(LEFT(L195, 3) = "973", RIGHT(L195, LEN(L195) - 3),
              IF(LEFT(L195, 3) = "233", RIGHT(L195, LEN(L195) - 3),
               IF(LEFT(L195, 3) = "977", RIGHT(L195, LEN(L195) - 3),
                IF(LEFT(L195, 2) = "20", RIGHT(L195, LEN(L195) - 2),
                 L195
                )
               )
              )
             )
            )
           )
          )
         )
        )
       )
      )
     )
    )
   )
  )
 )
)</f>
        <v/>
      </c>
    </row>
    <row r="196" spans="8:13" x14ac:dyDescent="0.3">
      <c r="H196" t="str">
        <f t="shared" si="11"/>
        <v/>
      </c>
      <c r="I196" t="str">
        <f>IFERROR(VLOOKUP(H196,List!A:B, 2, FALSE), "")</f>
        <v/>
      </c>
      <c r="K196" t="str">
        <f t="shared" si="12"/>
        <v/>
      </c>
      <c r="L196" t="str">
        <f t="shared" si="13"/>
        <v/>
      </c>
      <c r="M196" t="str">
        <f t="shared" si="14"/>
        <v/>
      </c>
    </row>
    <row r="197" spans="8:13" x14ac:dyDescent="0.3">
      <c r="H197" t="str">
        <f t="shared" si="11"/>
        <v/>
      </c>
      <c r="I197" t="str">
        <f>IFERROR(VLOOKUP(H197,List!A:B, 2, FALSE), "")</f>
        <v/>
      </c>
      <c r="K197" t="str">
        <f t="shared" si="12"/>
        <v/>
      </c>
      <c r="L197" t="str">
        <f t="shared" si="13"/>
        <v/>
      </c>
      <c r="M197" t="str">
        <f t="shared" si="14"/>
        <v/>
      </c>
    </row>
    <row r="198" spans="8:13" x14ac:dyDescent="0.3">
      <c r="H198" t="str">
        <f t="shared" si="11"/>
        <v/>
      </c>
      <c r="I198" t="str">
        <f>IFERROR(VLOOKUP(H198,List!A:B, 2, FALSE), "")</f>
        <v/>
      </c>
      <c r="K198" t="str">
        <f t="shared" si="12"/>
        <v/>
      </c>
      <c r="L198" t="str">
        <f t="shared" si="13"/>
        <v/>
      </c>
      <c r="M198" t="str">
        <f t="shared" si="14"/>
        <v/>
      </c>
    </row>
    <row r="199" spans="8:13" x14ac:dyDescent="0.3">
      <c r="H199" t="str">
        <f t="shared" ref="H199:H262" si="15">IF(N199=0,"","")</f>
        <v/>
      </c>
      <c r="I199" t="str">
        <f>IFERROR(VLOOKUP(H199,List!A:B, 2, FALSE), "")</f>
        <v/>
      </c>
      <c r="K199" t="str">
        <f t="shared" si="12"/>
        <v/>
      </c>
      <c r="L199" t="str">
        <f t="shared" si="13"/>
        <v/>
      </c>
      <c r="M199" t="str">
        <f t="shared" si="14"/>
        <v/>
      </c>
    </row>
    <row r="200" spans="8:13" x14ac:dyDescent="0.3">
      <c r="H200" t="str">
        <f t="shared" si="15"/>
        <v/>
      </c>
      <c r="I200" t="str">
        <f>IFERROR(VLOOKUP(H200,List!A:B, 2, FALSE), "")</f>
        <v/>
      </c>
      <c r="K200" t="str">
        <f t="shared" si="12"/>
        <v/>
      </c>
      <c r="L200" t="str">
        <f t="shared" si="13"/>
        <v/>
      </c>
      <c r="M200" t="str">
        <f t="shared" si="14"/>
        <v/>
      </c>
    </row>
    <row r="201" spans="8:13" x14ac:dyDescent="0.3">
      <c r="H201" t="str">
        <f t="shared" si="15"/>
        <v/>
      </c>
      <c r="I201" t="str">
        <f>IFERROR(VLOOKUP(H201,List!A:B, 2, FALSE), "")</f>
        <v/>
      </c>
      <c r="K201" t="str">
        <f t="shared" si="12"/>
        <v/>
      </c>
      <c r="L201" t="str">
        <f t="shared" si="13"/>
        <v/>
      </c>
      <c r="M201" t="str">
        <f t="shared" si="14"/>
        <v/>
      </c>
    </row>
    <row r="202" spans="8:13" x14ac:dyDescent="0.3">
      <c r="H202" t="str">
        <f t="shared" si="15"/>
        <v/>
      </c>
      <c r="I202" t="str">
        <f>IFERROR(VLOOKUP(H202,List!A:B, 2, FALSE), "")</f>
        <v/>
      </c>
      <c r="K202" t="str">
        <f t="shared" si="12"/>
        <v/>
      </c>
      <c r="L202" t="str">
        <f t="shared" si="13"/>
        <v/>
      </c>
      <c r="M202" t="str">
        <f t="shared" si="14"/>
        <v/>
      </c>
    </row>
    <row r="203" spans="8:13" x14ac:dyDescent="0.3">
      <c r="H203" t="str">
        <f t="shared" si="15"/>
        <v/>
      </c>
      <c r="I203" t="str">
        <f>IFERROR(VLOOKUP(H203,List!A:B, 2, FALSE), "")</f>
        <v/>
      </c>
      <c r="K203" t="str">
        <f t="shared" si="12"/>
        <v/>
      </c>
      <c r="L203" t="str">
        <f t="shared" si="13"/>
        <v/>
      </c>
      <c r="M203" t="str">
        <f t="shared" si="14"/>
        <v/>
      </c>
    </row>
    <row r="204" spans="8:13" x14ac:dyDescent="0.3">
      <c r="H204" t="str">
        <f t="shared" si="15"/>
        <v/>
      </c>
      <c r="I204" t="str">
        <f>IFERROR(VLOOKUP(H204,List!A:B, 2, FALSE), "")</f>
        <v/>
      </c>
      <c r="K204" t="str">
        <f t="shared" si="12"/>
        <v/>
      </c>
      <c r="L204" t="str">
        <f t="shared" si="13"/>
        <v/>
      </c>
      <c r="M204" t="str">
        <f t="shared" si="14"/>
        <v/>
      </c>
    </row>
    <row r="205" spans="8:13" x14ac:dyDescent="0.3">
      <c r="H205" t="str">
        <f t="shared" si="15"/>
        <v/>
      </c>
      <c r="I205" t="str">
        <f>IFERROR(VLOOKUP(H205,List!A:B, 2, FALSE), "")</f>
        <v/>
      </c>
      <c r="K205" t="str">
        <f t="shared" si="12"/>
        <v/>
      </c>
      <c r="L205" t="str">
        <f t="shared" si="13"/>
        <v/>
      </c>
      <c r="M205" t="str">
        <f t="shared" si="14"/>
        <v/>
      </c>
    </row>
    <row r="206" spans="8:13" x14ac:dyDescent="0.3">
      <c r="H206" t="str">
        <f t="shared" si="15"/>
        <v/>
      </c>
      <c r="I206" t="str">
        <f>IFERROR(VLOOKUP(H206,List!A:B, 2, FALSE), "")</f>
        <v/>
      </c>
      <c r="K206" t="str">
        <f t="shared" si="12"/>
        <v/>
      </c>
      <c r="L206" t="str">
        <f t="shared" si="13"/>
        <v/>
      </c>
      <c r="M206" t="str">
        <f t="shared" si="14"/>
        <v/>
      </c>
    </row>
    <row r="207" spans="8:13" x14ac:dyDescent="0.3">
      <c r="H207" t="str">
        <f t="shared" si="15"/>
        <v/>
      </c>
      <c r="I207" t="str">
        <f>IFERROR(VLOOKUP(H207,List!A:B, 2, FALSE), "")</f>
        <v/>
      </c>
      <c r="K207" t="str">
        <f t="shared" si="12"/>
        <v/>
      </c>
      <c r="L207" t="str">
        <f t="shared" si="13"/>
        <v/>
      </c>
      <c r="M207" t="str">
        <f t="shared" si="14"/>
        <v/>
      </c>
    </row>
    <row r="208" spans="8:13" x14ac:dyDescent="0.3">
      <c r="H208" t="str">
        <f t="shared" si="15"/>
        <v/>
      </c>
      <c r="I208" t="str">
        <f>IFERROR(VLOOKUP(H208,List!A:B, 2, FALSE), "")</f>
        <v/>
      </c>
      <c r="K208" t="str">
        <f t="shared" si="12"/>
        <v/>
      </c>
      <c r="L208" t="str">
        <f t="shared" si="13"/>
        <v/>
      </c>
      <c r="M208" t="str">
        <f t="shared" si="14"/>
        <v/>
      </c>
    </row>
    <row r="209" spans="8:13" x14ac:dyDescent="0.3">
      <c r="H209" t="str">
        <f t="shared" si="15"/>
        <v/>
      </c>
      <c r="I209" t="str">
        <f>IFERROR(VLOOKUP(H209,List!A:B, 2, FALSE), "")</f>
        <v/>
      </c>
      <c r="K209" t="str">
        <f t="shared" si="12"/>
        <v/>
      </c>
      <c r="L209" t="str">
        <f t="shared" si="13"/>
        <v/>
      </c>
      <c r="M209" t="str">
        <f t="shared" si="14"/>
        <v/>
      </c>
    </row>
    <row r="210" spans="8:13" x14ac:dyDescent="0.3">
      <c r="H210" t="str">
        <f t="shared" si="15"/>
        <v/>
      </c>
      <c r="I210" t="str">
        <f>IFERROR(VLOOKUP(H210,List!A:B, 2, FALSE), "")</f>
        <v/>
      </c>
      <c r="K210" t="str">
        <f t="shared" si="12"/>
        <v/>
      </c>
      <c r="L210" t="str">
        <f t="shared" si="13"/>
        <v/>
      </c>
      <c r="M210" t="str">
        <f t="shared" si="14"/>
        <v/>
      </c>
    </row>
    <row r="211" spans="8:13" x14ac:dyDescent="0.3">
      <c r="H211" t="str">
        <f t="shared" si="15"/>
        <v/>
      </c>
      <c r="I211" t="str">
        <f>IFERROR(VLOOKUP(H211,List!A:B, 2, FALSE), "")</f>
        <v/>
      </c>
      <c r="K211" t="str">
        <f t="shared" si="12"/>
        <v/>
      </c>
      <c r="L211" t="str">
        <f t="shared" si="13"/>
        <v/>
      </c>
      <c r="M211" t="str">
        <f t="shared" si="14"/>
        <v/>
      </c>
    </row>
    <row r="212" spans="8:13" x14ac:dyDescent="0.3">
      <c r="H212" t="str">
        <f t="shared" si="15"/>
        <v/>
      </c>
      <c r="I212" t="str">
        <f>IFERROR(VLOOKUP(H212,List!A:B, 2, FALSE), "")</f>
        <v/>
      </c>
      <c r="K212" t="str">
        <f t="shared" si="12"/>
        <v/>
      </c>
      <c r="L212" t="str">
        <f t="shared" si="13"/>
        <v/>
      </c>
      <c r="M212" t="str">
        <f t="shared" si="14"/>
        <v/>
      </c>
    </row>
    <row r="213" spans="8:13" x14ac:dyDescent="0.3">
      <c r="H213" t="str">
        <f t="shared" si="15"/>
        <v/>
      </c>
      <c r="I213" t="str">
        <f>IFERROR(VLOOKUP(H213,List!A:B, 2, FALSE), "")</f>
        <v/>
      </c>
      <c r="K213" t="str">
        <f t="shared" si="12"/>
        <v/>
      </c>
      <c r="L213" t="str">
        <f t="shared" si="13"/>
        <v/>
      </c>
      <c r="M213" t="str">
        <f t="shared" si="14"/>
        <v/>
      </c>
    </row>
    <row r="214" spans="8:13" x14ac:dyDescent="0.3">
      <c r="H214" t="str">
        <f t="shared" si="15"/>
        <v/>
      </c>
      <c r="I214" t="str">
        <f>IFERROR(VLOOKUP(H214,List!A:B, 2, FALSE), "")</f>
        <v/>
      </c>
      <c r="K214" t="str">
        <f t="shared" si="12"/>
        <v/>
      </c>
      <c r="L214" t="str">
        <f t="shared" si="13"/>
        <v/>
      </c>
      <c r="M214" t="str">
        <f t="shared" si="14"/>
        <v/>
      </c>
    </row>
    <row r="215" spans="8:13" x14ac:dyDescent="0.3">
      <c r="H215" t="str">
        <f t="shared" si="15"/>
        <v/>
      </c>
      <c r="I215" t="str">
        <f>IFERROR(VLOOKUP(H215,List!A:B, 2, FALSE), "")</f>
        <v/>
      </c>
      <c r="K215" t="str">
        <f t="shared" si="12"/>
        <v/>
      </c>
      <c r="L215" t="str">
        <f t="shared" si="13"/>
        <v/>
      </c>
      <c r="M215" t="str">
        <f t="shared" si="14"/>
        <v/>
      </c>
    </row>
    <row r="216" spans="8:13" x14ac:dyDescent="0.3">
      <c r="H216" t="str">
        <f t="shared" si="15"/>
        <v/>
      </c>
      <c r="I216" t="str">
        <f>IFERROR(VLOOKUP(H216,List!A:B, 2, FALSE), "")</f>
        <v/>
      </c>
      <c r="K216" t="str">
        <f t="shared" si="12"/>
        <v/>
      </c>
      <c r="L216" t="str">
        <f t="shared" si="13"/>
        <v/>
      </c>
      <c r="M216" t="str">
        <f t="shared" si="14"/>
        <v/>
      </c>
    </row>
    <row r="217" spans="8:13" x14ac:dyDescent="0.3">
      <c r="H217" t="str">
        <f t="shared" si="15"/>
        <v/>
      </c>
      <c r="I217" t="str">
        <f>IFERROR(VLOOKUP(H217,List!A:B, 2, FALSE), "")</f>
        <v/>
      </c>
      <c r="K217" t="str">
        <f t="shared" si="12"/>
        <v/>
      </c>
      <c r="L217" t="str">
        <f t="shared" si="13"/>
        <v/>
      </c>
      <c r="M217" t="str">
        <f t="shared" si="14"/>
        <v/>
      </c>
    </row>
    <row r="218" spans="8:13" x14ac:dyDescent="0.3">
      <c r="H218" t="str">
        <f t="shared" si="15"/>
        <v/>
      </c>
      <c r="I218" t="str">
        <f>IFERROR(VLOOKUP(H218,List!A:B, 2, FALSE), "")</f>
        <v/>
      </c>
      <c r="K218" t="str">
        <f t="shared" si="12"/>
        <v/>
      </c>
      <c r="L218" t="str">
        <f t="shared" si="13"/>
        <v/>
      </c>
      <c r="M218" t="str">
        <f t="shared" si="14"/>
        <v/>
      </c>
    </row>
    <row r="219" spans="8:13" x14ac:dyDescent="0.3">
      <c r="H219" t="str">
        <f t="shared" si="15"/>
        <v/>
      </c>
      <c r="I219" t="str">
        <f>IFERROR(VLOOKUP(H219,List!A:B, 2, FALSE), "")</f>
        <v/>
      </c>
      <c r="K219" t="str">
        <f t="shared" si="12"/>
        <v/>
      </c>
      <c r="L219" t="str">
        <f t="shared" si="13"/>
        <v/>
      </c>
      <c r="M219" t="str">
        <f t="shared" si="14"/>
        <v/>
      </c>
    </row>
    <row r="220" spans="8:13" x14ac:dyDescent="0.3">
      <c r="H220" t="str">
        <f t="shared" si="15"/>
        <v/>
      </c>
      <c r="I220" t="str">
        <f>IFERROR(VLOOKUP(H220,List!A:B, 2, FALSE), "")</f>
        <v/>
      </c>
      <c r="K220" t="str">
        <f t="shared" si="12"/>
        <v/>
      </c>
      <c r="L220" t="str">
        <f t="shared" si="13"/>
        <v/>
      </c>
      <c r="M220" t="str">
        <f t="shared" si="14"/>
        <v/>
      </c>
    </row>
    <row r="221" spans="8:13" x14ac:dyDescent="0.3">
      <c r="H221" t="str">
        <f t="shared" si="15"/>
        <v/>
      </c>
      <c r="I221" t="str">
        <f>IFERROR(VLOOKUP(H221,List!A:B, 2, FALSE), "")</f>
        <v/>
      </c>
      <c r="K221" t="str">
        <f t="shared" si="12"/>
        <v/>
      </c>
      <c r="L221" t="str">
        <f t="shared" si="13"/>
        <v/>
      </c>
      <c r="M221" t="str">
        <f t="shared" si="14"/>
        <v/>
      </c>
    </row>
    <row r="222" spans="8:13" x14ac:dyDescent="0.3">
      <c r="H222" t="str">
        <f t="shared" si="15"/>
        <v/>
      </c>
      <c r="I222" t="str">
        <f>IFERROR(VLOOKUP(H222,List!A:B, 2, FALSE), "")</f>
        <v/>
      </c>
      <c r="K222" t="str">
        <f t="shared" si="12"/>
        <v/>
      </c>
      <c r="L222" t="str">
        <f t="shared" si="13"/>
        <v/>
      </c>
      <c r="M222" t="str">
        <f t="shared" si="14"/>
        <v/>
      </c>
    </row>
    <row r="223" spans="8:13" x14ac:dyDescent="0.3">
      <c r="H223" t="str">
        <f t="shared" si="15"/>
        <v/>
      </c>
      <c r="I223" t="str">
        <f>IFERROR(VLOOKUP(H223,List!A:B, 2, FALSE), "")</f>
        <v/>
      </c>
      <c r="K223" t="str">
        <f t="shared" si="12"/>
        <v/>
      </c>
      <c r="L223" t="str">
        <f t="shared" si="13"/>
        <v/>
      </c>
      <c r="M223" t="str">
        <f t="shared" si="14"/>
        <v/>
      </c>
    </row>
    <row r="224" spans="8:13" x14ac:dyDescent="0.3">
      <c r="H224" t="str">
        <f t="shared" si="15"/>
        <v/>
      </c>
      <c r="I224" t="str">
        <f>IFERROR(VLOOKUP(H224,List!A:B, 2, FALSE), "")</f>
        <v/>
      </c>
      <c r="K224" t="str">
        <f t="shared" si="12"/>
        <v/>
      </c>
      <c r="L224" t="str">
        <f t="shared" si="13"/>
        <v/>
      </c>
      <c r="M224" t="str">
        <f t="shared" si="14"/>
        <v/>
      </c>
    </row>
    <row r="225" spans="8:13" x14ac:dyDescent="0.3">
      <c r="H225" t="str">
        <f t="shared" si="15"/>
        <v/>
      </c>
      <c r="I225" t="str">
        <f>IFERROR(VLOOKUP(H225,List!A:B, 2, FALSE), "")</f>
        <v/>
      </c>
      <c r="K225" t="str">
        <f t="shared" si="12"/>
        <v/>
      </c>
      <c r="L225" t="str">
        <f t="shared" si="13"/>
        <v/>
      </c>
      <c r="M225" t="str">
        <f t="shared" si="14"/>
        <v/>
      </c>
    </row>
    <row r="226" spans="8:13" x14ac:dyDescent="0.3">
      <c r="H226" t="str">
        <f t="shared" si="15"/>
        <v/>
      </c>
      <c r="I226" t="str">
        <f>IFERROR(VLOOKUP(H226,List!A:B, 2, FALSE), "")</f>
        <v/>
      </c>
      <c r="K226" t="str">
        <f t="shared" si="12"/>
        <v/>
      </c>
      <c r="L226" t="str">
        <f t="shared" si="13"/>
        <v/>
      </c>
      <c r="M226" t="str">
        <f t="shared" si="14"/>
        <v/>
      </c>
    </row>
    <row r="227" spans="8:13" x14ac:dyDescent="0.3">
      <c r="H227" t="str">
        <f t="shared" si="15"/>
        <v/>
      </c>
      <c r="I227" t="str">
        <f>IFERROR(VLOOKUP(H227,List!A:B, 2, FALSE), "")</f>
        <v/>
      </c>
      <c r="K227" t="str">
        <f t="shared" si="12"/>
        <v/>
      </c>
      <c r="L227" t="str">
        <f t="shared" si="13"/>
        <v/>
      </c>
      <c r="M227" t="str">
        <f t="shared" si="14"/>
        <v/>
      </c>
    </row>
    <row r="228" spans="8:13" x14ac:dyDescent="0.3">
      <c r="H228" t="str">
        <f t="shared" si="15"/>
        <v/>
      </c>
      <c r="I228" t="str">
        <f>IFERROR(VLOOKUP(H228,List!A:B, 2, FALSE), "")</f>
        <v/>
      </c>
      <c r="K228" t="str">
        <f t="shared" si="12"/>
        <v/>
      </c>
      <c r="L228" t="str">
        <f t="shared" si="13"/>
        <v/>
      </c>
      <c r="M228" t="str">
        <f t="shared" si="14"/>
        <v/>
      </c>
    </row>
    <row r="229" spans="8:13" x14ac:dyDescent="0.3">
      <c r="H229" t="str">
        <f t="shared" si="15"/>
        <v/>
      </c>
      <c r="I229" t="str">
        <f>IFERROR(VLOOKUP(H229,List!A:B, 2, FALSE), "")</f>
        <v/>
      </c>
      <c r="K229" t="str">
        <f t="shared" si="12"/>
        <v/>
      </c>
      <c r="L229" t="str">
        <f t="shared" si="13"/>
        <v/>
      </c>
      <c r="M229" t="str">
        <f t="shared" si="14"/>
        <v/>
      </c>
    </row>
    <row r="230" spans="8:13" x14ac:dyDescent="0.3">
      <c r="H230" t="str">
        <f t="shared" si="15"/>
        <v/>
      </c>
      <c r="I230" t="str">
        <f>IFERROR(VLOOKUP(H230,List!A:B, 2, FALSE), "")</f>
        <v/>
      </c>
      <c r="K230" t="str">
        <f t="shared" si="12"/>
        <v/>
      </c>
      <c r="L230" t="str">
        <f t="shared" si="13"/>
        <v/>
      </c>
      <c r="M230" t="str">
        <f t="shared" si="14"/>
        <v/>
      </c>
    </row>
    <row r="231" spans="8:13" x14ac:dyDescent="0.3">
      <c r="H231" t="str">
        <f t="shared" si="15"/>
        <v/>
      </c>
      <c r="I231" t="str">
        <f>IFERROR(VLOOKUP(H231,List!A:B, 2, FALSE), "")</f>
        <v/>
      </c>
      <c r="K231" t="str">
        <f t="shared" si="12"/>
        <v/>
      </c>
      <c r="L231" t="str">
        <f t="shared" si="13"/>
        <v/>
      </c>
      <c r="M231" t="str">
        <f t="shared" si="14"/>
        <v/>
      </c>
    </row>
    <row r="232" spans="8:13" x14ac:dyDescent="0.3">
      <c r="H232" t="str">
        <f t="shared" si="15"/>
        <v/>
      </c>
      <c r="I232" t="str">
        <f>IFERROR(VLOOKUP(H232,List!A:B, 2, FALSE), "")</f>
        <v/>
      </c>
      <c r="K232" t="str">
        <f t="shared" si="12"/>
        <v/>
      </c>
      <c r="L232" t="str">
        <f t="shared" si="13"/>
        <v/>
      </c>
      <c r="M232" t="str">
        <f t="shared" si="14"/>
        <v/>
      </c>
    </row>
    <row r="233" spans="8:13" x14ac:dyDescent="0.3">
      <c r="H233" t="str">
        <f t="shared" si="15"/>
        <v/>
      </c>
      <c r="I233" t="str">
        <f>IFERROR(VLOOKUP(H233,List!A:B, 2, FALSE), "")</f>
        <v/>
      </c>
      <c r="K233" t="str">
        <f t="shared" si="12"/>
        <v/>
      </c>
      <c r="L233" t="str">
        <f t="shared" si="13"/>
        <v/>
      </c>
      <c r="M233" t="str">
        <f t="shared" si="14"/>
        <v/>
      </c>
    </row>
    <row r="234" spans="8:13" x14ac:dyDescent="0.3">
      <c r="H234" t="str">
        <f t="shared" si="15"/>
        <v/>
      </c>
      <c r="I234" t="str">
        <f>IFERROR(VLOOKUP(H234,List!A:B, 2, FALSE), "")</f>
        <v/>
      </c>
      <c r="K234" t="str">
        <f t="shared" si="12"/>
        <v/>
      </c>
      <c r="L234" t="str">
        <f t="shared" si="13"/>
        <v/>
      </c>
      <c r="M234" t="str">
        <f t="shared" si="14"/>
        <v/>
      </c>
    </row>
    <row r="235" spans="8:13" x14ac:dyDescent="0.3">
      <c r="H235" t="str">
        <f t="shared" si="15"/>
        <v/>
      </c>
      <c r="I235" t="str">
        <f>IFERROR(VLOOKUP(H235,List!A:B, 2, FALSE), "")</f>
        <v/>
      </c>
      <c r="K235" t="str">
        <f t="shared" si="12"/>
        <v/>
      </c>
      <c r="L235" t="str">
        <f t="shared" si="13"/>
        <v/>
      </c>
      <c r="M235" t="str">
        <f t="shared" si="14"/>
        <v/>
      </c>
    </row>
    <row r="236" spans="8:13" x14ac:dyDescent="0.3">
      <c r="H236" t="str">
        <f t="shared" si="15"/>
        <v/>
      </c>
      <c r="I236" t="str">
        <f>IFERROR(VLOOKUP(H236,List!A:B, 2, FALSE), "")</f>
        <v/>
      </c>
      <c r="K236" t="str">
        <f t="shared" si="12"/>
        <v/>
      </c>
      <c r="L236" t="str">
        <f t="shared" si="13"/>
        <v/>
      </c>
      <c r="M236" t="str">
        <f t="shared" si="14"/>
        <v/>
      </c>
    </row>
    <row r="237" spans="8:13" x14ac:dyDescent="0.3">
      <c r="H237" t="str">
        <f t="shared" si="15"/>
        <v/>
      </c>
      <c r="I237" t="str">
        <f>IFERROR(VLOOKUP(H237,List!A:B, 2, FALSE), "")</f>
        <v/>
      </c>
      <c r="K237" t="str">
        <f t="shared" si="12"/>
        <v/>
      </c>
      <c r="L237" t="str">
        <f t="shared" si="13"/>
        <v/>
      </c>
      <c r="M237" t="str">
        <f t="shared" si="14"/>
        <v/>
      </c>
    </row>
    <row r="238" spans="8:13" x14ac:dyDescent="0.3">
      <c r="H238" t="str">
        <f t="shared" si="15"/>
        <v/>
      </c>
      <c r="I238" t="str">
        <f>IFERROR(VLOOKUP(H238,List!A:B, 2, FALSE), "")</f>
        <v/>
      </c>
      <c r="K238" t="str">
        <f t="shared" si="12"/>
        <v/>
      </c>
      <c r="L238" t="str">
        <f t="shared" si="13"/>
        <v/>
      </c>
      <c r="M238" t="str">
        <f t="shared" si="14"/>
        <v/>
      </c>
    </row>
    <row r="239" spans="8:13" x14ac:dyDescent="0.3">
      <c r="H239" t="str">
        <f t="shared" si="15"/>
        <v/>
      </c>
      <c r="I239" t="str">
        <f>IFERROR(VLOOKUP(H239,List!A:B, 2, FALSE), "")</f>
        <v/>
      </c>
      <c r="K239" t="str">
        <f t="shared" si="12"/>
        <v/>
      </c>
      <c r="L239" t="str">
        <f t="shared" si="13"/>
        <v/>
      </c>
      <c r="M239" t="str">
        <f t="shared" si="14"/>
        <v/>
      </c>
    </row>
    <row r="240" spans="8:13" x14ac:dyDescent="0.3">
      <c r="H240" t="str">
        <f t="shared" si="15"/>
        <v/>
      </c>
      <c r="I240" t="str">
        <f>IFERROR(VLOOKUP(H240,List!A:B, 2, FALSE), "")</f>
        <v/>
      </c>
      <c r="K240" t="str">
        <f t="shared" si="12"/>
        <v/>
      </c>
      <c r="L240" t="str">
        <f t="shared" si="13"/>
        <v/>
      </c>
      <c r="M240" t="str">
        <f t="shared" si="14"/>
        <v/>
      </c>
    </row>
    <row r="241" spans="8:13" x14ac:dyDescent="0.3">
      <c r="H241" t="str">
        <f t="shared" si="15"/>
        <v/>
      </c>
      <c r="I241" t="str">
        <f>IFERROR(VLOOKUP(H241,List!A:B, 2, FALSE), "")</f>
        <v/>
      </c>
      <c r="K241" t="str">
        <f t="shared" si="12"/>
        <v/>
      </c>
      <c r="L241" t="str">
        <f t="shared" si="13"/>
        <v/>
      </c>
      <c r="M241" t="str">
        <f t="shared" si="14"/>
        <v/>
      </c>
    </row>
    <row r="242" spans="8:13" x14ac:dyDescent="0.3">
      <c r="H242" t="str">
        <f t="shared" si="15"/>
        <v/>
      </c>
      <c r="I242" t="str">
        <f>IFERROR(VLOOKUP(H242,List!A:B, 2, FALSE), "")</f>
        <v/>
      </c>
      <c r="K242" t="str">
        <f t="shared" si="12"/>
        <v/>
      </c>
      <c r="L242" t="str">
        <f t="shared" si="13"/>
        <v/>
      </c>
      <c r="M242" t="str">
        <f t="shared" si="14"/>
        <v/>
      </c>
    </row>
    <row r="243" spans="8:13" x14ac:dyDescent="0.3">
      <c r="H243" t="str">
        <f t="shared" si="15"/>
        <v/>
      </c>
      <c r="I243" t="str">
        <f>IFERROR(VLOOKUP(H243,List!A:B, 2, FALSE), "")</f>
        <v/>
      </c>
      <c r="K243" t="str">
        <f t="shared" si="12"/>
        <v/>
      </c>
      <c r="L243" t="str">
        <f t="shared" si="13"/>
        <v/>
      </c>
      <c r="M243" t="str">
        <f t="shared" si="14"/>
        <v/>
      </c>
    </row>
    <row r="244" spans="8:13" x14ac:dyDescent="0.3">
      <c r="H244" t="str">
        <f t="shared" si="15"/>
        <v/>
      </c>
      <c r="I244" t="str">
        <f>IFERROR(VLOOKUP(H244,List!A:B, 2, FALSE), "")</f>
        <v/>
      </c>
      <c r="K244" t="str">
        <f t="shared" si="12"/>
        <v/>
      </c>
      <c r="L244" t="str">
        <f t="shared" si="13"/>
        <v/>
      </c>
      <c r="M244" t="str">
        <f t="shared" si="14"/>
        <v/>
      </c>
    </row>
    <row r="245" spans="8:13" x14ac:dyDescent="0.3">
      <c r="H245" t="str">
        <f t="shared" si="15"/>
        <v/>
      </c>
      <c r="I245" t="str">
        <f>IFERROR(VLOOKUP(H245,List!A:B, 2, FALSE), "")</f>
        <v/>
      </c>
      <c r="K245" t="str">
        <f t="shared" si="12"/>
        <v/>
      </c>
      <c r="L245" t="str">
        <f t="shared" si="13"/>
        <v/>
      </c>
      <c r="M245" t="str">
        <f t="shared" si="14"/>
        <v/>
      </c>
    </row>
    <row r="246" spans="8:13" x14ac:dyDescent="0.3">
      <c r="H246" t="str">
        <f t="shared" si="15"/>
        <v/>
      </c>
      <c r="I246" t="str">
        <f>IFERROR(VLOOKUP(H246,List!A:B, 2, FALSE), "")</f>
        <v/>
      </c>
      <c r="K246" t="str">
        <f t="shared" si="12"/>
        <v/>
      </c>
      <c r="L246" t="str">
        <f t="shared" si="13"/>
        <v/>
      </c>
      <c r="M246" t="str">
        <f t="shared" si="14"/>
        <v/>
      </c>
    </row>
    <row r="247" spans="8:13" x14ac:dyDescent="0.3">
      <c r="H247" t="str">
        <f t="shared" si="15"/>
        <v/>
      </c>
      <c r="I247" t="str">
        <f>IFERROR(VLOOKUP(H247,List!A:B, 2, FALSE), "")</f>
        <v/>
      </c>
      <c r="K247" t="str">
        <f t="shared" si="12"/>
        <v/>
      </c>
      <c r="L247" t="str">
        <f t="shared" si="13"/>
        <v/>
      </c>
      <c r="M247" t="str">
        <f t="shared" si="14"/>
        <v/>
      </c>
    </row>
    <row r="248" spans="8:13" x14ac:dyDescent="0.3">
      <c r="H248" t="str">
        <f t="shared" si="15"/>
        <v/>
      </c>
      <c r="I248" t="str">
        <f>IFERROR(VLOOKUP(H248,List!A:B, 2, FALSE), "")</f>
        <v/>
      </c>
      <c r="K248" t="str">
        <f t="shared" si="12"/>
        <v/>
      </c>
      <c r="L248" t="str">
        <f t="shared" si="13"/>
        <v/>
      </c>
      <c r="M248" t="str">
        <f t="shared" si="14"/>
        <v/>
      </c>
    </row>
    <row r="249" spans="8:13" x14ac:dyDescent="0.3">
      <c r="H249" t="str">
        <f t="shared" si="15"/>
        <v/>
      </c>
      <c r="I249" t="str">
        <f>IFERROR(VLOOKUP(H249,List!A:B, 2, FALSE), "")</f>
        <v/>
      </c>
      <c r="K249" t="str">
        <f t="shared" si="12"/>
        <v/>
      </c>
      <c r="L249" t="str">
        <f t="shared" si="13"/>
        <v/>
      </c>
      <c r="M249" t="str">
        <f t="shared" si="14"/>
        <v/>
      </c>
    </row>
    <row r="250" spans="8:13" x14ac:dyDescent="0.3">
      <c r="H250" t="str">
        <f t="shared" si="15"/>
        <v/>
      </c>
      <c r="I250" t="str">
        <f>IFERROR(VLOOKUP(H250,List!A:B, 2, FALSE), "")</f>
        <v/>
      </c>
      <c r="K250" t="str">
        <f t="shared" si="12"/>
        <v/>
      </c>
      <c r="L250" t="str">
        <f t="shared" si="13"/>
        <v/>
      </c>
      <c r="M250" t="str">
        <f t="shared" si="14"/>
        <v/>
      </c>
    </row>
    <row r="251" spans="8:13" x14ac:dyDescent="0.3">
      <c r="H251" t="str">
        <f t="shared" si="15"/>
        <v/>
      </c>
      <c r="I251" t="str">
        <f>IFERROR(VLOOKUP(H251,List!A:B, 2, FALSE), "")</f>
        <v/>
      </c>
      <c r="K251" t="str">
        <f t="shared" si="12"/>
        <v/>
      </c>
      <c r="L251" t="str">
        <f t="shared" si="13"/>
        <v/>
      </c>
      <c r="M251" t="str">
        <f t="shared" si="14"/>
        <v/>
      </c>
    </row>
    <row r="252" spans="8:13" x14ac:dyDescent="0.3">
      <c r="H252" t="str">
        <f t="shared" si="15"/>
        <v/>
      </c>
      <c r="I252" t="str">
        <f>IFERROR(VLOOKUP(H252,List!A:B, 2, FALSE), "")</f>
        <v/>
      </c>
      <c r="K252" t="str">
        <f t="shared" si="12"/>
        <v/>
      </c>
      <c r="L252" t="str">
        <f t="shared" si="13"/>
        <v/>
      </c>
      <c r="M252" t="str">
        <f t="shared" si="14"/>
        <v/>
      </c>
    </row>
    <row r="253" spans="8:13" x14ac:dyDescent="0.3">
      <c r="H253" t="str">
        <f t="shared" si="15"/>
        <v/>
      </c>
      <c r="I253" t="str">
        <f>IFERROR(VLOOKUP(H253,List!A:B, 2, FALSE), "")</f>
        <v/>
      </c>
      <c r="K253" t="str">
        <f t="shared" si="12"/>
        <v/>
      </c>
      <c r="L253" t="str">
        <f t="shared" si="13"/>
        <v/>
      </c>
      <c r="M253" t="str">
        <f t="shared" si="14"/>
        <v/>
      </c>
    </row>
    <row r="254" spans="8:13" x14ac:dyDescent="0.3">
      <c r="H254" t="str">
        <f t="shared" si="15"/>
        <v/>
      </c>
      <c r="I254" t="str">
        <f>IFERROR(VLOOKUP(H254,List!A:B, 2, FALSE), "")</f>
        <v/>
      </c>
      <c r="K254" t="str">
        <f t="shared" si="12"/>
        <v/>
      </c>
      <c r="L254" t="str">
        <f t="shared" si="13"/>
        <v/>
      </c>
      <c r="M254" t="str">
        <f t="shared" si="14"/>
        <v/>
      </c>
    </row>
    <row r="255" spans="8:13" x14ac:dyDescent="0.3">
      <c r="H255" t="str">
        <f t="shared" si="15"/>
        <v/>
      </c>
      <c r="I255" t="str">
        <f>IFERROR(VLOOKUP(H255,List!A:B, 2, FALSE), "")</f>
        <v/>
      </c>
      <c r="K255" t="str">
        <f t="shared" si="12"/>
        <v/>
      </c>
      <c r="L255" t="str">
        <f t="shared" si="13"/>
        <v/>
      </c>
      <c r="M255" t="str">
        <f t="shared" si="14"/>
        <v/>
      </c>
    </row>
    <row r="256" spans="8:13" x14ac:dyDescent="0.3">
      <c r="H256" t="str">
        <f t="shared" si="15"/>
        <v/>
      </c>
      <c r="I256" t="str">
        <f>IFERROR(VLOOKUP(H256,List!A:B, 2, FALSE), "")</f>
        <v/>
      </c>
      <c r="K256" t="str">
        <f t="shared" si="12"/>
        <v/>
      </c>
      <c r="L256" t="str">
        <f t="shared" si="13"/>
        <v/>
      </c>
      <c r="M256" t="str">
        <f t="shared" si="14"/>
        <v/>
      </c>
    </row>
    <row r="257" spans="8:13" x14ac:dyDescent="0.3">
      <c r="H257" t="str">
        <f t="shared" si="15"/>
        <v/>
      </c>
      <c r="I257" t="str">
        <f>IFERROR(VLOOKUP(H257,List!A:B, 2, FALSE), "")</f>
        <v/>
      </c>
      <c r="K257" t="str">
        <f t="shared" si="12"/>
        <v/>
      </c>
      <c r="L257" t="str">
        <f t="shared" si="13"/>
        <v/>
      </c>
      <c r="M257" t="str">
        <f t="shared" si="14"/>
        <v/>
      </c>
    </row>
    <row r="258" spans="8:13" x14ac:dyDescent="0.3">
      <c r="H258" t="str">
        <f t="shared" si="15"/>
        <v/>
      </c>
      <c r="I258" t="str">
        <f>IFERROR(VLOOKUP(H258,List!A:B, 2, FALSE), "")</f>
        <v/>
      </c>
      <c r="K258" t="str">
        <f t="shared" si="12"/>
        <v/>
      </c>
      <c r="L258" t="str">
        <f t="shared" si="13"/>
        <v/>
      </c>
      <c r="M258" t="str">
        <f t="shared" si="14"/>
        <v/>
      </c>
    </row>
    <row r="259" spans="8:13" x14ac:dyDescent="0.3">
      <c r="H259" t="str">
        <f t="shared" si="15"/>
        <v/>
      </c>
      <c r="I259" t="str">
        <f>IFERROR(VLOOKUP(H259,List!A:B, 2, FALSE), "")</f>
        <v/>
      </c>
      <c r="K259" t="str">
        <f t="shared" ref="K259:K322" si="16">SUBSTITUTE(SUBSTITUTE(SUBSTITUTE(SUBSTITUTE(C259,"-",""),"+",""),"p:","")," ","")</f>
        <v/>
      </c>
      <c r="L259" t="str">
        <f t="shared" ref="L259:L322" si="17">K259</f>
        <v/>
      </c>
      <c r="M259" t="str">
        <f t="shared" ref="M259:M322" si="18">IF(LEFT(L259, 2) = "91", RIGHT(L259, LEN(L259) - 2),
 IF(LEFT(L259, 3) = "971", RIGHT(L259, LEN(L259) - 3),
  IF(LEFT(L259, 2) = "92", RIGHT(L259, LEN(L259) - 2),
   IF(LEFT(L259, 3) = "974", RIGHT(L259, LEN(L259) - 3),
    IF(LEFT(L259, 2) = "60", RIGHT(L259, LEN(L259) - 2),
     IF(LEFT(L259, 2) = "65", RIGHT(L259, LEN(L259) - 2),
      IF(LEFT(L259, 3) = "966", RIGHT(L259, LEN(L259) - 3),
       IF(LEFT(L259, 3) = "967", RIGHT(L259, LEN(L259) - 3),
        IF(LEFT(L259, 3) = "968", RIGHT(L259, LEN(L259) - 3),
         IF(LEFT(L259, 3) = "249", RIGHT(L259, LEN(L259) - 3),
          IF(LEFT(L259, 3) = "213", RIGHT(L259, LEN(L259) - 3),
           IF(LEFT(L259, 3) = "965", RIGHT(L259, LEN(L259) - 3),
            IF(LEFT(L259, 3) = "1", RIGHT(L259, LEN(L259) - 1),
             IF(LEFT(L259, 3) = "973", RIGHT(L259, LEN(L259) - 3),
              IF(LEFT(L259, 3) = "233", RIGHT(L259, LEN(L259) - 3),
               IF(LEFT(L259, 3) = "977", RIGHT(L259, LEN(L259) - 3),
                IF(LEFT(L259, 2) = "20", RIGHT(L259, LEN(L259) - 2),
                 L259
                )
               )
              )
             )
            )
           )
          )
         )
        )
       )
      )
     )
    )
   )
  )
 )
)</f>
        <v/>
      </c>
    </row>
    <row r="260" spans="8:13" x14ac:dyDescent="0.3">
      <c r="H260" t="str">
        <f t="shared" si="15"/>
        <v/>
      </c>
      <c r="I260" t="str">
        <f>IFERROR(VLOOKUP(H260,List!A:B, 2, FALSE), "")</f>
        <v/>
      </c>
      <c r="K260" t="str">
        <f t="shared" si="16"/>
        <v/>
      </c>
      <c r="L260" t="str">
        <f t="shared" si="17"/>
        <v/>
      </c>
      <c r="M260" t="str">
        <f t="shared" si="18"/>
        <v/>
      </c>
    </row>
    <row r="261" spans="8:13" x14ac:dyDescent="0.3">
      <c r="H261" t="str">
        <f t="shared" si="15"/>
        <v/>
      </c>
      <c r="I261" t="str">
        <f>IFERROR(VLOOKUP(H261,List!A:B, 2, FALSE), "")</f>
        <v/>
      </c>
      <c r="K261" t="str">
        <f t="shared" si="16"/>
        <v/>
      </c>
      <c r="L261" t="str">
        <f t="shared" si="17"/>
        <v/>
      </c>
      <c r="M261" t="str">
        <f t="shared" si="18"/>
        <v/>
      </c>
    </row>
    <row r="262" spans="8:13" x14ac:dyDescent="0.3">
      <c r="H262" t="str">
        <f t="shared" si="15"/>
        <v/>
      </c>
      <c r="I262" t="str">
        <f>IFERROR(VLOOKUP(H262,List!A:B, 2, FALSE), "")</f>
        <v/>
      </c>
      <c r="K262" t="str">
        <f t="shared" si="16"/>
        <v/>
      </c>
      <c r="L262" t="str">
        <f t="shared" si="17"/>
        <v/>
      </c>
      <c r="M262" t="str">
        <f t="shared" si="18"/>
        <v/>
      </c>
    </row>
    <row r="263" spans="8:13" x14ac:dyDescent="0.3">
      <c r="H263" t="str">
        <f t="shared" ref="H263:H326" si="19">IF(N263=0,"","")</f>
        <v/>
      </c>
      <c r="I263" t="str">
        <f>IFERROR(VLOOKUP(H263,List!A:B, 2, FALSE), "")</f>
        <v/>
      </c>
      <c r="K263" t="str">
        <f t="shared" si="16"/>
        <v/>
      </c>
      <c r="L263" t="str">
        <f t="shared" si="17"/>
        <v/>
      </c>
      <c r="M263" t="str">
        <f t="shared" si="18"/>
        <v/>
      </c>
    </row>
    <row r="264" spans="8:13" x14ac:dyDescent="0.3">
      <c r="H264" t="str">
        <f t="shared" si="19"/>
        <v/>
      </c>
      <c r="I264" t="str">
        <f>IFERROR(VLOOKUP(H264,List!A:B, 2, FALSE), "")</f>
        <v/>
      </c>
      <c r="K264" t="str">
        <f t="shared" si="16"/>
        <v/>
      </c>
      <c r="L264" t="str">
        <f t="shared" si="17"/>
        <v/>
      </c>
      <c r="M264" t="str">
        <f t="shared" si="18"/>
        <v/>
      </c>
    </row>
    <row r="265" spans="8:13" x14ac:dyDescent="0.3">
      <c r="H265" t="str">
        <f t="shared" si="19"/>
        <v/>
      </c>
      <c r="I265" t="str">
        <f>IFERROR(VLOOKUP(H265,List!A:B, 2, FALSE), "")</f>
        <v/>
      </c>
      <c r="K265" t="str">
        <f t="shared" si="16"/>
        <v/>
      </c>
      <c r="L265" t="str">
        <f t="shared" si="17"/>
        <v/>
      </c>
      <c r="M265" t="str">
        <f t="shared" si="18"/>
        <v/>
      </c>
    </row>
    <row r="266" spans="8:13" x14ac:dyDescent="0.3">
      <c r="H266" t="str">
        <f t="shared" si="19"/>
        <v/>
      </c>
      <c r="I266" t="str">
        <f>IFERROR(VLOOKUP(H266,List!A:B, 2, FALSE), "")</f>
        <v/>
      </c>
      <c r="K266" t="str">
        <f t="shared" si="16"/>
        <v/>
      </c>
      <c r="L266" t="str">
        <f t="shared" si="17"/>
        <v/>
      </c>
      <c r="M266" t="str">
        <f t="shared" si="18"/>
        <v/>
      </c>
    </row>
    <row r="267" spans="8:13" x14ac:dyDescent="0.3">
      <c r="H267" t="str">
        <f t="shared" si="19"/>
        <v/>
      </c>
      <c r="I267" t="str">
        <f>IFERROR(VLOOKUP(H267,List!A:B, 2, FALSE), "")</f>
        <v/>
      </c>
      <c r="K267" t="str">
        <f t="shared" si="16"/>
        <v/>
      </c>
      <c r="L267" t="str">
        <f t="shared" si="17"/>
        <v/>
      </c>
      <c r="M267" t="str">
        <f t="shared" si="18"/>
        <v/>
      </c>
    </row>
    <row r="268" spans="8:13" x14ac:dyDescent="0.3">
      <c r="H268" t="str">
        <f t="shared" si="19"/>
        <v/>
      </c>
      <c r="I268" t="str">
        <f>IFERROR(VLOOKUP(H268,List!A:B, 2, FALSE), "")</f>
        <v/>
      </c>
      <c r="K268" t="str">
        <f t="shared" si="16"/>
        <v/>
      </c>
      <c r="L268" t="str">
        <f t="shared" si="17"/>
        <v/>
      </c>
      <c r="M268" t="str">
        <f t="shared" si="18"/>
        <v/>
      </c>
    </row>
    <row r="269" spans="8:13" x14ac:dyDescent="0.3">
      <c r="H269" t="str">
        <f t="shared" si="19"/>
        <v/>
      </c>
      <c r="I269" t="str">
        <f>IFERROR(VLOOKUP(H269,List!A:B, 2, FALSE), "")</f>
        <v/>
      </c>
      <c r="K269" t="str">
        <f t="shared" si="16"/>
        <v/>
      </c>
      <c r="L269" t="str">
        <f t="shared" si="17"/>
        <v/>
      </c>
      <c r="M269" t="str">
        <f t="shared" si="18"/>
        <v/>
      </c>
    </row>
    <row r="270" spans="8:13" x14ac:dyDescent="0.3">
      <c r="H270" t="str">
        <f t="shared" si="19"/>
        <v/>
      </c>
      <c r="I270" t="str">
        <f>IFERROR(VLOOKUP(H270,List!A:B, 2, FALSE), "")</f>
        <v/>
      </c>
      <c r="K270" t="str">
        <f t="shared" si="16"/>
        <v/>
      </c>
      <c r="L270" t="str">
        <f t="shared" si="17"/>
        <v/>
      </c>
      <c r="M270" t="str">
        <f t="shared" si="18"/>
        <v/>
      </c>
    </row>
    <row r="271" spans="8:13" x14ac:dyDescent="0.3">
      <c r="H271" t="str">
        <f t="shared" si="19"/>
        <v/>
      </c>
      <c r="I271" t="str">
        <f>IFERROR(VLOOKUP(H271,List!A:B, 2, FALSE), "")</f>
        <v/>
      </c>
      <c r="K271" t="str">
        <f t="shared" si="16"/>
        <v/>
      </c>
      <c r="L271" t="str">
        <f t="shared" si="17"/>
        <v/>
      </c>
      <c r="M271" t="str">
        <f t="shared" si="18"/>
        <v/>
      </c>
    </row>
    <row r="272" spans="8:13" x14ac:dyDescent="0.3">
      <c r="H272" t="str">
        <f t="shared" si="19"/>
        <v/>
      </c>
      <c r="I272" t="str">
        <f>IFERROR(VLOOKUP(H272,List!A:B, 2, FALSE), "")</f>
        <v/>
      </c>
      <c r="K272" t="str">
        <f t="shared" si="16"/>
        <v/>
      </c>
      <c r="L272" t="str">
        <f t="shared" si="17"/>
        <v/>
      </c>
      <c r="M272" t="str">
        <f t="shared" si="18"/>
        <v/>
      </c>
    </row>
    <row r="273" spans="8:13" x14ac:dyDescent="0.3">
      <c r="H273" t="str">
        <f t="shared" si="19"/>
        <v/>
      </c>
      <c r="I273" t="str">
        <f>IFERROR(VLOOKUP(H273,List!A:B, 2, FALSE), "")</f>
        <v/>
      </c>
      <c r="K273" t="str">
        <f t="shared" si="16"/>
        <v/>
      </c>
      <c r="L273" t="str">
        <f t="shared" si="17"/>
        <v/>
      </c>
      <c r="M273" t="str">
        <f t="shared" si="18"/>
        <v/>
      </c>
    </row>
    <row r="274" spans="8:13" x14ac:dyDescent="0.3">
      <c r="H274" t="str">
        <f t="shared" si="19"/>
        <v/>
      </c>
      <c r="I274" t="str">
        <f>IFERROR(VLOOKUP(H274,List!A:B, 2, FALSE), "")</f>
        <v/>
      </c>
      <c r="K274" t="str">
        <f t="shared" si="16"/>
        <v/>
      </c>
      <c r="L274" t="str">
        <f t="shared" si="17"/>
        <v/>
      </c>
      <c r="M274" t="str">
        <f t="shared" si="18"/>
        <v/>
      </c>
    </row>
    <row r="275" spans="8:13" x14ac:dyDescent="0.3">
      <c r="H275" t="str">
        <f t="shared" si="19"/>
        <v/>
      </c>
      <c r="I275" t="str">
        <f>IFERROR(VLOOKUP(H275,List!A:B, 2, FALSE), "")</f>
        <v/>
      </c>
      <c r="K275" t="str">
        <f t="shared" si="16"/>
        <v/>
      </c>
      <c r="L275" t="str">
        <f t="shared" si="17"/>
        <v/>
      </c>
      <c r="M275" t="str">
        <f t="shared" si="18"/>
        <v/>
      </c>
    </row>
    <row r="276" spans="8:13" x14ac:dyDescent="0.3">
      <c r="H276" t="str">
        <f t="shared" si="19"/>
        <v/>
      </c>
      <c r="I276" t="str">
        <f>IFERROR(VLOOKUP(H276,List!A:B, 2, FALSE), "")</f>
        <v/>
      </c>
      <c r="K276" t="str">
        <f t="shared" si="16"/>
        <v/>
      </c>
      <c r="L276" t="str">
        <f t="shared" si="17"/>
        <v/>
      </c>
      <c r="M276" t="str">
        <f t="shared" si="18"/>
        <v/>
      </c>
    </row>
    <row r="277" spans="8:13" x14ac:dyDescent="0.3">
      <c r="H277" t="str">
        <f t="shared" si="19"/>
        <v/>
      </c>
      <c r="I277" t="str">
        <f>IFERROR(VLOOKUP(H277,List!A:B, 2, FALSE), "")</f>
        <v/>
      </c>
      <c r="K277" t="str">
        <f t="shared" si="16"/>
        <v/>
      </c>
      <c r="L277" t="str">
        <f t="shared" si="17"/>
        <v/>
      </c>
      <c r="M277" t="str">
        <f t="shared" si="18"/>
        <v/>
      </c>
    </row>
    <row r="278" spans="8:13" x14ac:dyDescent="0.3">
      <c r="H278" t="str">
        <f t="shared" si="19"/>
        <v/>
      </c>
      <c r="I278" t="str">
        <f>IFERROR(VLOOKUP(H278,List!A:B, 2, FALSE), "")</f>
        <v/>
      </c>
      <c r="K278" t="str">
        <f t="shared" si="16"/>
        <v/>
      </c>
      <c r="L278" t="str">
        <f t="shared" si="17"/>
        <v/>
      </c>
      <c r="M278" t="str">
        <f t="shared" si="18"/>
        <v/>
      </c>
    </row>
    <row r="279" spans="8:13" x14ac:dyDescent="0.3">
      <c r="H279" t="str">
        <f t="shared" si="19"/>
        <v/>
      </c>
      <c r="I279" t="str">
        <f>IFERROR(VLOOKUP(H279,List!A:B, 2, FALSE), "")</f>
        <v/>
      </c>
      <c r="K279" t="str">
        <f t="shared" si="16"/>
        <v/>
      </c>
      <c r="L279" t="str">
        <f t="shared" si="17"/>
        <v/>
      </c>
      <c r="M279" t="str">
        <f t="shared" si="18"/>
        <v/>
      </c>
    </row>
    <row r="280" spans="8:13" x14ac:dyDescent="0.3">
      <c r="H280" t="str">
        <f t="shared" si="19"/>
        <v/>
      </c>
      <c r="I280" t="str">
        <f>IFERROR(VLOOKUP(H280,List!A:B, 2, FALSE), "")</f>
        <v/>
      </c>
      <c r="K280" t="str">
        <f t="shared" si="16"/>
        <v/>
      </c>
      <c r="L280" t="str">
        <f t="shared" si="17"/>
        <v/>
      </c>
      <c r="M280" t="str">
        <f t="shared" si="18"/>
        <v/>
      </c>
    </row>
    <row r="281" spans="8:13" x14ac:dyDescent="0.3">
      <c r="H281" t="str">
        <f t="shared" si="19"/>
        <v/>
      </c>
      <c r="I281" t="str">
        <f>IFERROR(VLOOKUP(H281,List!A:B, 2, FALSE), "")</f>
        <v/>
      </c>
      <c r="K281" t="str">
        <f t="shared" si="16"/>
        <v/>
      </c>
      <c r="L281" t="str">
        <f t="shared" si="17"/>
        <v/>
      </c>
      <c r="M281" t="str">
        <f t="shared" si="18"/>
        <v/>
      </c>
    </row>
    <row r="282" spans="8:13" x14ac:dyDescent="0.3">
      <c r="H282" t="str">
        <f t="shared" si="19"/>
        <v/>
      </c>
      <c r="I282" t="str">
        <f>IFERROR(VLOOKUP(H282,List!A:B, 2, FALSE), "")</f>
        <v/>
      </c>
      <c r="K282" t="str">
        <f t="shared" si="16"/>
        <v/>
      </c>
      <c r="L282" t="str">
        <f t="shared" si="17"/>
        <v/>
      </c>
      <c r="M282" t="str">
        <f t="shared" si="18"/>
        <v/>
      </c>
    </row>
    <row r="283" spans="8:13" x14ac:dyDescent="0.3">
      <c r="H283" t="str">
        <f t="shared" si="19"/>
        <v/>
      </c>
      <c r="I283" t="str">
        <f>IFERROR(VLOOKUP(H283,List!A:B, 2, FALSE), "")</f>
        <v/>
      </c>
      <c r="K283" t="str">
        <f t="shared" si="16"/>
        <v/>
      </c>
      <c r="L283" t="str">
        <f t="shared" si="17"/>
        <v/>
      </c>
      <c r="M283" t="str">
        <f t="shared" si="18"/>
        <v/>
      </c>
    </row>
    <row r="284" spans="8:13" x14ac:dyDescent="0.3">
      <c r="H284" t="str">
        <f t="shared" si="19"/>
        <v/>
      </c>
      <c r="I284" t="str">
        <f>IFERROR(VLOOKUP(H284,List!A:B, 2, FALSE), "")</f>
        <v/>
      </c>
      <c r="K284" t="str">
        <f t="shared" si="16"/>
        <v/>
      </c>
      <c r="L284" t="str">
        <f t="shared" si="17"/>
        <v/>
      </c>
      <c r="M284" t="str">
        <f t="shared" si="18"/>
        <v/>
      </c>
    </row>
    <row r="285" spans="8:13" x14ac:dyDescent="0.3">
      <c r="H285" t="str">
        <f t="shared" si="19"/>
        <v/>
      </c>
      <c r="I285" t="str">
        <f>IFERROR(VLOOKUP(H285,List!A:B, 2, FALSE), "")</f>
        <v/>
      </c>
      <c r="K285" t="str">
        <f t="shared" si="16"/>
        <v/>
      </c>
      <c r="L285" t="str">
        <f t="shared" si="17"/>
        <v/>
      </c>
      <c r="M285" t="str">
        <f t="shared" si="18"/>
        <v/>
      </c>
    </row>
    <row r="286" spans="8:13" x14ac:dyDescent="0.3">
      <c r="H286" t="str">
        <f t="shared" si="19"/>
        <v/>
      </c>
      <c r="I286" t="str">
        <f>IFERROR(VLOOKUP(H286,List!A:B, 2, FALSE), "")</f>
        <v/>
      </c>
      <c r="K286" t="str">
        <f t="shared" si="16"/>
        <v/>
      </c>
      <c r="L286" t="str">
        <f t="shared" si="17"/>
        <v/>
      </c>
      <c r="M286" t="str">
        <f t="shared" si="18"/>
        <v/>
      </c>
    </row>
    <row r="287" spans="8:13" x14ac:dyDescent="0.3">
      <c r="H287" t="str">
        <f t="shared" si="19"/>
        <v/>
      </c>
      <c r="I287" t="str">
        <f>IFERROR(VLOOKUP(H287,List!A:B, 2, FALSE), "")</f>
        <v/>
      </c>
      <c r="K287" t="str">
        <f t="shared" si="16"/>
        <v/>
      </c>
      <c r="L287" t="str">
        <f t="shared" si="17"/>
        <v/>
      </c>
      <c r="M287" t="str">
        <f t="shared" si="18"/>
        <v/>
      </c>
    </row>
    <row r="288" spans="8:13" x14ac:dyDescent="0.3">
      <c r="H288" t="str">
        <f t="shared" si="19"/>
        <v/>
      </c>
      <c r="I288" t="str">
        <f>IFERROR(VLOOKUP(H288,List!A:B, 2, FALSE), "")</f>
        <v/>
      </c>
      <c r="K288" t="str">
        <f t="shared" si="16"/>
        <v/>
      </c>
      <c r="L288" t="str">
        <f t="shared" si="17"/>
        <v/>
      </c>
      <c r="M288" t="str">
        <f t="shared" si="18"/>
        <v/>
      </c>
    </row>
    <row r="289" spans="8:13" x14ac:dyDescent="0.3">
      <c r="H289" t="str">
        <f t="shared" si="19"/>
        <v/>
      </c>
      <c r="I289" t="str">
        <f>IFERROR(VLOOKUP(H289,List!A:B, 2, FALSE), "")</f>
        <v/>
      </c>
      <c r="K289" t="str">
        <f t="shared" si="16"/>
        <v/>
      </c>
      <c r="L289" t="str">
        <f t="shared" si="17"/>
        <v/>
      </c>
      <c r="M289" t="str">
        <f t="shared" si="18"/>
        <v/>
      </c>
    </row>
    <row r="290" spans="8:13" x14ac:dyDescent="0.3">
      <c r="H290" t="str">
        <f t="shared" si="19"/>
        <v/>
      </c>
      <c r="I290" t="str">
        <f>IFERROR(VLOOKUP(H290,List!A:B, 2, FALSE), "")</f>
        <v/>
      </c>
      <c r="K290" t="str">
        <f t="shared" si="16"/>
        <v/>
      </c>
      <c r="L290" t="str">
        <f t="shared" si="17"/>
        <v/>
      </c>
      <c r="M290" t="str">
        <f t="shared" si="18"/>
        <v/>
      </c>
    </row>
    <row r="291" spans="8:13" x14ac:dyDescent="0.3">
      <c r="H291" t="str">
        <f t="shared" si="19"/>
        <v/>
      </c>
      <c r="I291" t="str">
        <f>IFERROR(VLOOKUP(H291,List!A:B, 2, FALSE), "")</f>
        <v/>
      </c>
      <c r="K291" t="str">
        <f t="shared" si="16"/>
        <v/>
      </c>
      <c r="L291" t="str">
        <f t="shared" si="17"/>
        <v/>
      </c>
      <c r="M291" t="str">
        <f t="shared" si="18"/>
        <v/>
      </c>
    </row>
    <row r="292" spans="8:13" x14ac:dyDescent="0.3">
      <c r="H292" t="str">
        <f t="shared" si="19"/>
        <v/>
      </c>
      <c r="I292" t="str">
        <f>IFERROR(VLOOKUP(H292,List!A:B, 2, FALSE), "")</f>
        <v/>
      </c>
      <c r="K292" t="str">
        <f t="shared" si="16"/>
        <v/>
      </c>
      <c r="L292" t="str">
        <f t="shared" si="17"/>
        <v/>
      </c>
      <c r="M292" t="str">
        <f t="shared" si="18"/>
        <v/>
      </c>
    </row>
    <row r="293" spans="8:13" x14ac:dyDescent="0.3">
      <c r="H293" t="str">
        <f t="shared" si="19"/>
        <v/>
      </c>
      <c r="I293" t="str">
        <f>IFERROR(VLOOKUP(H293,List!A:B, 2, FALSE), "")</f>
        <v/>
      </c>
      <c r="K293" t="str">
        <f t="shared" si="16"/>
        <v/>
      </c>
      <c r="L293" t="str">
        <f t="shared" si="17"/>
        <v/>
      </c>
      <c r="M293" t="str">
        <f t="shared" si="18"/>
        <v/>
      </c>
    </row>
    <row r="294" spans="8:13" x14ac:dyDescent="0.3">
      <c r="H294" t="str">
        <f t="shared" si="19"/>
        <v/>
      </c>
      <c r="I294" t="str">
        <f>IFERROR(VLOOKUP(H294,List!A:B, 2, FALSE), "")</f>
        <v/>
      </c>
      <c r="K294" t="str">
        <f t="shared" si="16"/>
        <v/>
      </c>
      <c r="L294" t="str">
        <f t="shared" si="17"/>
        <v/>
      </c>
      <c r="M294" t="str">
        <f t="shared" si="18"/>
        <v/>
      </c>
    </row>
    <row r="295" spans="8:13" x14ac:dyDescent="0.3">
      <c r="H295" t="str">
        <f t="shared" si="19"/>
        <v/>
      </c>
      <c r="I295" t="str">
        <f>IFERROR(VLOOKUP(H295,List!A:B, 2, FALSE), "")</f>
        <v/>
      </c>
      <c r="K295" t="str">
        <f t="shared" si="16"/>
        <v/>
      </c>
      <c r="L295" t="str">
        <f t="shared" si="17"/>
        <v/>
      </c>
      <c r="M295" t="str">
        <f t="shared" si="18"/>
        <v/>
      </c>
    </row>
    <row r="296" spans="8:13" x14ac:dyDescent="0.3">
      <c r="H296" t="str">
        <f t="shared" si="19"/>
        <v/>
      </c>
      <c r="I296" t="str">
        <f>IFERROR(VLOOKUP(H296,List!A:B, 2, FALSE), "")</f>
        <v/>
      </c>
      <c r="K296" t="str">
        <f t="shared" si="16"/>
        <v/>
      </c>
      <c r="L296" t="str">
        <f t="shared" si="17"/>
        <v/>
      </c>
      <c r="M296" t="str">
        <f t="shared" si="18"/>
        <v/>
      </c>
    </row>
    <row r="297" spans="8:13" x14ac:dyDescent="0.3">
      <c r="H297" t="str">
        <f t="shared" si="19"/>
        <v/>
      </c>
      <c r="I297" t="str">
        <f>IFERROR(VLOOKUP(H297,List!A:B, 2, FALSE), "")</f>
        <v/>
      </c>
      <c r="K297" t="str">
        <f t="shared" si="16"/>
        <v/>
      </c>
      <c r="L297" t="str">
        <f t="shared" si="17"/>
        <v/>
      </c>
      <c r="M297" t="str">
        <f t="shared" si="18"/>
        <v/>
      </c>
    </row>
    <row r="298" spans="8:13" x14ac:dyDescent="0.3">
      <c r="H298" t="str">
        <f t="shared" si="19"/>
        <v/>
      </c>
      <c r="I298" t="str">
        <f>IFERROR(VLOOKUP(H298,List!A:B, 2, FALSE), "")</f>
        <v/>
      </c>
      <c r="K298" t="str">
        <f t="shared" si="16"/>
        <v/>
      </c>
      <c r="L298" t="str">
        <f t="shared" si="17"/>
        <v/>
      </c>
      <c r="M298" t="str">
        <f t="shared" si="18"/>
        <v/>
      </c>
    </row>
    <row r="299" spans="8:13" x14ac:dyDescent="0.3">
      <c r="H299" t="str">
        <f t="shared" si="19"/>
        <v/>
      </c>
      <c r="I299" t="str">
        <f>IFERROR(VLOOKUP(H299,List!A:B, 2, FALSE), "")</f>
        <v/>
      </c>
      <c r="K299" t="str">
        <f t="shared" si="16"/>
        <v/>
      </c>
      <c r="L299" t="str">
        <f t="shared" si="17"/>
        <v/>
      </c>
      <c r="M299" t="str">
        <f t="shared" si="18"/>
        <v/>
      </c>
    </row>
    <row r="300" spans="8:13" x14ac:dyDescent="0.3">
      <c r="H300" t="str">
        <f t="shared" si="19"/>
        <v/>
      </c>
      <c r="I300" t="str">
        <f>IFERROR(VLOOKUP(H300,List!A:B, 2, FALSE), "")</f>
        <v/>
      </c>
      <c r="K300" t="str">
        <f t="shared" si="16"/>
        <v/>
      </c>
      <c r="L300" t="str">
        <f t="shared" si="17"/>
        <v/>
      </c>
      <c r="M300" t="str">
        <f t="shared" si="18"/>
        <v/>
      </c>
    </row>
    <row r="301" spans="8:13" x14ac:dyDescent="0.3">
      <c r="H301" t="str">
        <f t="shared" si="19"/>
        <v/>
      </c>
      <c r="I301" t="str">
        <f>IFERROR(VLOOKUP(H301,List!A:B, 2, FALSE), "")</f>
        <v/>
      </c>
      <c r="K301" t="str">
        <f t="shared" si="16"/>
        <v/>
      </c>
      <c r="L301" t="str">
        <f t="shared" si="17"/>
        <v/>
      </c>
      <c r="M301" t="str">
        <f t="shared" si="18"/>
        <v/>
      </c>
    </row>
    <row r="302" spans="8:13" x14ac:dyDescent="0.3">
      <c r="H302" t="str">
        <f t="shared" si="19"/>
        <v/>
      </c>
      <c r="I302" t="str">
        <f>IFERROR(VLOOKUP(H302,List!A:B, 2, FALSE), "")</f>
        <v/>
      </c>
      <c r="K302" t="str">
        <f t="shared" si="16"/>
        <v/>
      </c>
      <c r="L302" t="str">
        <f t="shared" si="17"/>
        <v/>
      </c>
      <c r="M302" t="str">
        <f t="shared" si="18"/>
        <v/>
      </c>
    </row>
    <row r="303" spans="8:13" x14ac:dyDescent="0.3">
      <c r="H303" t="str">
        <f t="shared" si="19"/>
        <v/>
      </c>
      <c r="I303" t="str">
        <f>IFERROR(VLOOKUP(H303,List!A:B, 2, FALSE), "")</f>
        <v/>
      </c>
      <c r="K303" t="str">
        <f t="shared" si="16"/>
        <v/>
      </c>
      <c r="L303" t="str">
        <f t="shared" si="17"/>
        <v/>
      </c>
      <c r="M303" t="str">
        <f t="shared" si="18"/>
        <v/>
      </c>
    </row>
    <row r="304" spans="8:13" x14ac:dyDescent="0.3">
      <c r="H304" t="str">
        <f t="shared" si="19"/>
        <v/>
      </c>
      <c r="I304" t="str">
        <f>IFERROR(VLOOKUP(H304,List!A:B, 2, FALSE), "")</f>
        <v/>
      </c>
      <c r="K304" t="str">
        <f t="shared" si="16"/>
        <v/>
      </c>
      <c r="L304" t="str">
        <f t="shared" si="17"/>
        <v/>
      </c>
      <c r="M304" t="str">
        <f t="shared" si="18"/>
        <v/>
      </c>
    </row>
    <row r="305" spans="8:13" x14ac:dyDescent="0.3">
      <c r="H305" t="str">
        <f t="shared" si="19"/>
        <v/>
      </c>
      <c r="I305" t="str">
        <f>IFERROR(VLOOKUP(H305,List!A:B, 2, FALSE), "")</f>
        <v/>
      </c>
      <c r="K305" t="str">
        <f t="shared" si="16"/>
        <v/>
      </c>
      <c r="L305" t="str">
        <f t="shared" si="17"/>
        <v/>
      </c>
      <c r="M305" t="str">
        <f t="shared" si="18"/>
        <v/>
      </c>
    </row>
    <row r="306" spans="8:13" x14ac:dyDescent="0.3">
      <c r="H306" t="str">
        <f t="shared" si="19"/>
        <v/>
      </c>
      <c r="I306" t="str">
        <f>IFERROR(VLOOKUP(H306,List!A:B, 2, FALSE), "")</f>
        <v/>
      </c>
      <c r="K306" t="str">
        <f t="shared" si="16"/>
        <v/>
      </c>
      <c r="L306" t="str">
        <f t="shared" si="17"/>
        <v/>
      </c>
      <c r="M306" t="str">
        <f t="shared" si="18"/>
        <v/>
      </c>
    </row>
    <row r="307" spans="8:13" x14ac:dyDescent="0.3">
      <c r="H307" t="str">
        <f t="shared" si="19"/>
        <v/>
      </c>
      <c r="I307" t="str">
        <f>IFERROR(VLOOKUP(H307,List!A:B, 2, FALSE), "")</f>
        <v/>
      </c>
      <c r="K307" t="str">
        <f t="shared" si="16"/>
        <v/>
      </c>
      <c r="L307" t="str">
        <f t="shared" si="17"/>
        <v/>
      </c>
      <c r="M307" t="str">
        <f t="shared" si="18"/>
        <v/>
      </c>
    </row>
    <row r="308" spans="8:13" x14ac:dyDescent="0.3">
      <c r="H308" t="str">
        <f t="shared" si="19"/>
        <v/>
      </c>
      <c r="I308" t="str">
        <f>IFERROR(VLOOKUP(H308,List!A:B, 2, FALSE), "")</f>
        <v/>
      </c>
      <c r="K308" t="str">
        <f t="shared" si="16"/>
        <v/>
      </c>
      <c r="L308" t="str">
        <f t="shared" si="17"/>
        <v/>
      </c>
      <c r="M308" t="str">
        <f t="shared" si="18"/>
        <v/>
      </c>
    </row>
    <row r="309" spans="8:13" x14ac:dyDescent="0.3">
      <c r="H309" t="str">
        <f t="shared" si="19"/>
        <v/>
      </c>
      <c r="I309" t="str">
        <f>IFERROR(VLOOKUP(H309,List!A:B, 2, FALSE), "")</f>
        <v/>
      </c>
      <c r="K309" t="str">
        <f t="shared" si="16"/>
        <v/>
      </c>
      <c r="L309" t="str">
        <f t="shared" si="17"/>
        <v/>
      </c>
      <c r="M309" t="str">
        <f t="shared" si="18"/>
        <v/>
      </c>
    </row>
    <row r="310" spans="8:13" x14ac:dyDescent="0.3">
      <c r="H310" t="str">
        <f t="shared" si="19"/>
        <v/>
      </c>
      <c r="I310" t="str">
        <f>IFERROR(VLOOKUP(H310,List!A:B, 2, FALSE), "")</f>
        <v/>
      </c>
      <c r="K310" t="str">
        <f t="shared" si="16"/>
        <v/>
      </c>
      <c r="L310" t="str">
        <f t="shared" si="17"/>
        <v/>
      </c>
      <c r="M310" t="str">
        <f t="shared" si="18"/>
        <v/>
      </c>
    </row>
    <row r="311" spans="8:13" x14ac:dyDescent="0.3">
      <c r="H311" t="str">
        <f t="shared" si="19"/>
        <v/>
      </c>
      <c r="I311" t="str">
        <f>IFERROR(VLOOKUP(H311,List!A:B, 2, FALSE), "")</f>
        <v/>
      </c>
      <c r="K311" t="str">
        <f t="shared" si="16"/>
        <v/>
      </c>
      <c r="L311" t="str">
        <f t="shared" si="17"/>
        <v/>
      </c>
      <c r="M311" t="str">
        <f t="shared" si="18"/>
        <v/>
      </c>
    </row>
    <row r="312" spans="8:13" x14ac:dyDescent="0.3">
      <c r="H312" t="str">
        <f t="shared" si="19"/>
        <v/>
      </c>
      <c r="I312" t="str">
        <f>IFERROR(VLOOKUP(H312,List!A:B, 2, FALSE), "")</f>
        <v/>
      </c>
      <c r="K312" t="str">
        <f t="shared" si="16"/>
        <v/>
      </c>
      <c r="L312" t="str">
        <f t="shared" si="17"/>
        <v/>
      </c>
      <c r="M312" t="str">
        <f t="shared" si="18"/>
        <v/>
      </c>
    </row>
    <row r="313" spans="8:13" x14ac:dyDescent="0.3">
      <c r="H313" t="str">
        <f t="shared" si="19"/>
        <v/>
      </c>
      <c r="I313" t="str">
        <f>IFERROR(VLOOKUP(H313,List!A:B, 2, FALSE), "")</f>
        <v/>
      </c>
      <c r="K313" t="str">
        <f t="shared" si="16"/>
        <v/>
      </c>
      <c r="L313" t="str">
        <f t="shared" si="17"/>
        <v/>
      </c>
      <c r="M313" t="str">
        <f t="shared" si="18"/>
        <v/>
      </c>
    </row>
    <row r="314" spans="8:13" x14ac:dyDescent="0.3">
      <c r="H314" t="str">
        <f t="shared" si="19"/>
        <v/>
      </c>
      <c r="I314" t="str">
        <f>IFERROR(VLOOKUP(H314,List!A:B, 2, FALSE), "")</f>
        <v/>
      </c>
      <c r="K314" t="str">
        <f t="shared" si="16"/>
        <v/>
      </c>
      <c r="L314" t="str">
        <f t="shared" si="17"/>
        <v/>
      </c>
      <c r="M314" t="str">
        <f t="shared" si="18"/>
        <v/>
      </c>
    </row>
    <row r="315" spans="8:13" x14ac:dyDescent="0.3">
      <c r="H315" t="str">
        <f t="shared" si="19"/>
        <v/>
      </c>
      <c r="I315" t="str">
        <f>IFERROR(VLOOKUP(H315,List!A:B, 2, FALSE), "")</f>
        <v/>
      </c>
      <c r="K315" t="str">
        <f t="shared" si="16"/>
        <v/>
      </c>
      <c r="L315" t="str">
        <f t="shared" si="17"/>
        <v/>
      </c>
      <c r="M315" t="str">
        <f t="shared" si="18"/>
        <v/>
      </c>
    </row>
    <row r="316" spans="8:13" x14ac:dyDescent="0.3">
      <c r="H316" t="str">
        <f t="shared" si="19"/>
        <v/>
      </c>
      <c r="I316" t="str">
        <f>IFERROR(VLOOKUP(H316,List!A:B, 2, FALSE), "")</f>
        <v/>
      </c>
      <c r="K316" t="str">
        <f t="shared" si="16"/>
        <v/>
      </c>
      <c r="L316" t="str">
        <f t="shared" si="17"/>
        <v/>
      </c>
      <c r="M316" t="str">
        <f t="shared" si="18"/>
        <v/>
      </c>
    </row>
    <row r="317" spans="8:13" x14ac:dyDescent="0.3">
      <c r="H317" t="str">
        <f t="shared" si="19"/>
        <v/>
      </c>
      <c r="I317" t="str">
        <f>IFERROR(VLOOKUP(H317,List!A:B, 2, FALSE), "")</f>
        <v/>
      </c>
      <c r="K317" t="str">
        <f t="shared" si="16"/>
        <v/>
      </c>
      <c r="L317" t="str">
        <f t="shared" si="17"/>
        <v/>
      </c>
      <c r="M317" t="str">
        <f t="shared" si="18"/>
        <v/>
      </c>
    </row>
    <row r="318" spans="8:13" x14ac:dyDescent="0.3">
      <c r="H318" t="str">
        <f t="shared" si="19"/>
        <v/>
      </c>
      <c r="I318" t="str">
        <f>IFERROR(VLOOKUP(H318,List!A:B, 2, FALSE), "")</f>
        <v/>
      </c>
      <c r="K318" t="str">
        <f t="shared" si="16"/>
        <v/>
      </c>
      <c r="L318" t="str">
        <f t="shared" si="17"/>
        <v/>
      </c>
      <c r="M318" t="str">
        <f t="shared" si="18"/>
        <v/>
      </c>
    </row>
    <row r="319" spans="8:13" x14ac:dyDescent="0.3">
      <c r="H319" t="str">
        <f t="shared" si="19"/>
        <v/>
      </c>
      <c r="I319" t="str">
        <f>IFERROR(VLOOKUP(H319,List!A:B, 2, FALSE), "")</f>
        <v/>
      </c>
      <c r="K319" t="str">
        <f t="shared" si="16"/>
        <v/>
      </c>
      <c r="L319" t="str">
        <f t="shared" si="17"/>
        <v/>
      </c>
      <c r="M319" t="str">
        <f t="shared" si="18"/>
        <v/>
      </c>
    </row>
    <row r="320" spans="8:13" x14ac:dyDescent="0.3">
      <c r="H320" t="str">
        <f t="shared" si="19"/>
        <v/>
      </c>
      <c r="I320" t="str">
        <f>IFERROR(VLOOKUP(H320,List!A:B, 2, FALSE), "")</f>
        <v/>
      </c>
      <c r="K320" t="str">
        <f t="shared" si="16"/>
        <v/>
      </c>
      <c r="L320" t="str">
        <f t="shared" si="17"/>
        <v/>
      </c>
      <c r="M320" t="str">
        <f t="shared" si="18"/>
        <v/>
      </c>
    </row>
    <row r="321" spans="8:13" x14ac:dyDescent="0.3">
      <c r="H321" t="str">
        <f t="shared" si="19"/>
        <v/>
      </c>
      <c r="I321" t="str">
        <f>IFERROR(VLOOKUP(H321,List!A:B, 2, FALSE), "")</f>
        <v/>
      </c>
      <c r="K321" t="str">
        <f t="shared" si="16"/>
        <v/>
      </c>
      <c r="L321" t="str">
        <f t="shared" si="17"/>
        <v/>
      </c>
      <c r="M321" t="str">
        <f t="shared" si="18"/>
        <v/>
      </c>
    </row>
    <row r="322" spans="8:13" x14ac:dyDescent="0.3">
      <c r="H322" t="str">
        <f t="shared" si="19"/>
        <v/>
      </c>
      <c r="I322" t="str">
        <f>IFERROR(VLOOKUP(H322,List!A:B, 2, FALSE), "")</f>
        <v/>
      </c>
      <c r="K322" t="str">
        <f t="shared" si="16"/>
        <v/>
      </c>
      <c r="L322" t="str">
        <f t="shared" si="17"/>
        <v/>
      </c>
      <c r="M322" t="str">
        <f t="shared" si="18"/>
        <v/>
      </c>
    </row>
    <row r="323" spans="8:13" x14ac:dyDescent="0.3">
      <c r="H323" t="str">
        <f t="shared" si="19"/>
        <v/>
      </c>
      <c r="I323" t="str">
        <f>IFERROR(VLOOKUP(H323,List!A:B, 2, FALSE), "")</f>
        <v/>
      </c>
      <c r="K323" t="str">
        <f t="shared" ref="K323:K386" si="20">SUBSTITUTE(SUBSTITUTE(SUBSTITUTE(SUBSTITUTE(C323,"-",""),"+",""),"p:","")," ","")</f>
        <v/>
      </c>
      <c r="L323" t="str">
        <f t="shared" ref="L323:L386" si="21">K323</f>
        <v/>
      </c>
      <c r="M323" t="str">
        <f t="shared" ref="M323:M386" si="22">IF(LEFT(L323, 2) = "91", RIGHT(L323, LEN(L323) - 2),
 IF(LEFT(L323, 3) = "971", RIGHT(L323, LEN(L323) - 3),
  IF(LEFT(L323, 2) = "92", RIGHT(L323, LEN(L323) - 2),
   IF(LEFT(L323, 3) = "974", RIGHT(L323, LEN(L323) - 3),
    IF(LEFT(L323, 2) = "60", RIGHT(L323, LEN(L323) - 2),
     IF(LEFT(L323, 2) = "65", RIGHT(L323, LEN(L323) - 2),
      IF(LEFT(L323, 3) = "966", RIGHT(L323, LEN(L323) - 3),
       IF(LEFT(L323, 3) = "967", RIGHT(L323, LEN(L323) - 3),
        IF(LEFT(L323, 3) = "968", RIGHT(L323, LEN(L323) - 3),
         IF(LEFT(L323, 3) = "249", RIGHT(L323, LEN(L323) - 3),
          IF(LEFT(L323, 3) = "213", RIGHT(L323, LEN(L323) - 3),
           IF(LEFT(L323, 3) = "965", RIGHT(L323, LEN(L323) - 3),
            IF(LEFT(L323, 3) = "1", RIGHT(L323, LEN(L323) - 1),
             IF(LEFT(L323, 3) = "973", RIGHT(L323, LEN(L323) - 3),
              IF(LEFT(L323, 3) = "233", RIGHT(L323, LEN(L323) - 3),
               IF(LEFT(L323, 3) = "977", RIGHT(L323, LEN(L323) - 3),
                IF(LEFT(L323, 2) = "20", RIGHT(L323, LEN(L323) - 2),
                 L323
                )
               )
              )
             )
            )
           )
          )
         )
        )
       )
      )
     )
    )
   )
  )
 )
)</f>
        <v/>
      </c>
    </row>
    <row r="324" spans="8:13" x14ac:dyDescent="0.3">
      <c r="H324" t="str">
        <f t="shared" si="19"/>
        <v/>
      </c>
      <c r="I324" t="str">
        <f>IFERROR(VLOOKUP(H324,List!A:B, 2, FALSE), "")</f>
        <v/>
      </c>
      <c r="K324" t="str">
        <f t="shared" si="20"/>
        <v/>
      </c>
      <c r="L324" t="str">
        <f t="shared" si="21"/>
        <v/>
      </c>
      <c r="M324" t="str">
        <f t="shared" si="22"/>
        <v/>
      </c>
    </row>
    <row r="325" spans="8:13" x14ac:dyDescent="0.3">
      <c r="H325" t="str">
        <f t="shared" si="19"/>
        <v/>
      </c>
      <c r="I325" t="str">
        <f>IFERROR(VLOOKUP(H325,List!A:B, 2, FALSE), "")</f>
        <v/>
      </c>
      <c r="K325" t="str">
        <f t="shared" si="20"/>
        <v/>
      </c>
      <c r="L325" t="str">
        <f t="shared" si="21"/>
        <v/>
      </c>
      <c r="M325" t="str">
        <f t="shared" si="22"/>
        <v/>
      </c>
    </row>
    <row r="326" spans="8:13" x14ac:dyDescent="0.3">
      <c r="H326" t="str">
        <f t="shared" si="19"/>
        <v/>
      </c>
      <c r="I326" t="str">
        <f>IFERROR(VLOOKUP(H326,List!A:B, 2, FALSE), "")</f>
        <v/>
      </c>
      <c r="K326" t="str">
        <f t="shared" si="20"/>
        <v/>
      </c>
      <c r="L326" t="str">
        <f t="shared" si="21"/>
        <v/>
      </c>
      <c r="M326" t="str">
        <f t="shared" si="22"/>
        <v/>
      </c>
    </row>
    <row r="327" spans="8:13" x14ac:dyDescent="0.3">
      <c r="H327" t="str">
        <f t="shared" ref="H327:H390" si="23">IF(N327=0,"","")</f>
        <v/>
      </c>
      <c r="I327" t="str">
        <f>IFERROR(VLOOKUP(H327,List!A:B, 2, FALSE), "")</f>
        <v/>
      </c>
      <c r="K327" t="str">
        <f t="shared" si="20"/>
        <v/>
      </c>
      <c r="L327" t="str">
        <f t="shared" si="21"/>
        <v/>
      </c>
      <c r="M327" t="str">
        <f t="shared" si="22"/>
        <v/>
      </c>
    </row>
    <row r="328" spans="8:13" x14ac:dyDescent="0.3">
      <c r="H328" t="str">
        <f t="shared" si="23"/>
        <v/>
      </c>
      <c r="I328" t="str">
        <f>IFERROR(VLOOKUP(H328,List!A:B, 2, FALSE), "")</f>
        <v/>
      </c>
      <c r="K328" t="str">
        <f t="shared" si="20"/>
        <v/>
      </c>
      <c r="L328" t="str">
        <f t="shared" si="21"/>
        <v/>
      </c>
      <c r="M328" t="str">
        <f t="shared" si="22"/>
        <v/>
      </c>
    </row>
    <row r="329" spans="8:13" x14ac:dyDescent="0.3">
      <c r="H329" t="str">
        <f t="shared" si="23"/>
        <v/>
      </c>
      <c r="I329" t="str">
        <f>IFERROR(VLOOKUP(H329,List!A:B, 2, FALSE), "")</f>
        <v/>
      </c>
      <c r="K329" t="str">
        <f t="shared" si="20"/>
        <v/>
      </c>
      <c r="L329" t="str">
        <f t="shared" si="21"/>
        <v/>
      </c>
      <c r="M329" t="str">
        <f t="shared" si="22"/>
        <v/>
      </c>
    </row>
    <row r="330" spans="8:13" x14ac:dyDescent="0.3">
      <c r="H330" t="str">
        <f t="shared" si="23"/>
        <v/>
      </c>
      <c r="I330" t="str">
        <f>IFERROR(VLOOKUP(H330,List!A:B, 2, FALSE), "")</f>
        <v/>
      </c>
      <c r="K330" t="str">
        <f t="shared" si="20"/>
        <v/>
      </c>
      <c r="L330" t="str">
        <f t="shared" si="21"/>
        <v/>
      </c>
      <c r="M330" t="str">
        <f t="shared" si="22"/>
        <v/>
      </c>
    </row>
    <row r="331" spans="8:13" x14ac:dyDescent="0.3">
      <c r="H331" t="str">
        <f t="shared" si="23"/>
        <v/>
      </c>
      <c r="I331" t="str">
        <f>IFERROR(VLOOKUP(H331,List!A:B, 2, FALSE), "")</f>
        <v/>
      </c>
      <c r="K331" t="str">
        <f t="shared" si="20"/>
        <v/>
      </c>
      <c r="L331" t="str">
        <f t="shared" si="21"/>
        <v/>
      </c>
      <c r="M331" t="str">
        <f t="shared" si="22"/>
        <v/>
      </c>
    </row>
    <row r="332" spans="8:13" x14ac:dyDescent="0.3">
      <c r="H332" t="str">
        <f t="shared" si="23"/>
        <v/>
      </c>
      <c r="I332" t="str">
        <f>IFERROR(VLOOKUP(H332,List!A:B, 2, FALSE), "")</f>
        <v/>
      </c>
      <c r="K332" t="str">
        <f t="shared" si="20"/>
        <v/>
      </c>
      <c r="L332" t="str">
        <f t="shared" si="21"/>
        <v/>
      </c>
      <c r="M332" t="str">
        <f t="shared" si="22"/>
        <v/>
      </c>
    </row>
    <row r="333" spans="8:13" x14ac:dyDescent="0.3">
      <c r="H333" t="str">
        <f t="shared" si="23"/>
        <v/>
      </c>
      <c r="I333" t="str">
        <f>IFERROR(VLOOKUP(H333,List!A:B, 2, FALSE), "")</f>
        <v/>
      </c>
      <c r="K333" t="str">
        <f t="shared" si="20"/>
        <v/>
      </c>
      <c r="L333" t="str">
        <f t="shared" si="21"/>
        <v/>
      </c>
      <c r="M333" t="str">
        <f t="shared" si="22"/>
        <v/>
      </c>
    </row>
    <row r="334" spans="8:13" x14ac:dyDescent="0.3">
      <c r="H334" t="str">
        <f t="shared" si="23"/>
        <v/>
      </c>
      <c r="I334" t="str">
        <f>IFERROR(VLOOKUP(H334,List!A:B, 2, FALSE), "")</f>
        <v/>
      </c>
      <c r="K334" t="str">
        <f t="shared" si="20"/>
        <v/>
      </c>
      <c r="L334" t="str">
        <f t="shared" si="21"/>
        <v/>
      </c>
      <c r="M334" t="str">
        <f t="shared" si="22"/>
        <v/>
      </c>
    </row>
    <row r="335" spans="8:13" x14ac:dyDescent="0.3">
      <c r="H335" t="str">
        <f t="shared" si="23"/>
        <v/>
      </c>
      <c r="I335" t="str">
        <f>IFERROR(VLOOKUP(H335,List!A:B, 2, FALSE), "")</f>
        <v/>
      </c>
      <c r="K335" t="str">
        <f t="shared" si="20"/>
        <v/>
      </c>
      <c r="L335" t="str">
        <f t="shared" si="21"/>
        <v/>
      </c>
      <c r="M335" t="str">
        <f t="shared" si="22"/>
        <v/>
      </c>
    </row>
    <row r="336" spans="8:13" x14ac:dyDescent="0.3">
      <c r="H336" t="str">
        <f t="shared" si="23"/>
        <v/>
      </c>
      <c r="I336" t="str">
        <f>IFERROR(VLOOKUP(H336,List!A:B, 2, FALSE), "")</f>
        <v/>
      </c>
      <c r="K336" t="str">
        <f t="shared" si="20"/>
        <v/>
      </c>
      <c r="L336" t="str">
        <f t="shared" si="21"/>
        <v/>
      </c>
      <c r="M336" t="str">
        <f t="shared" si="22"/>
        <v/>
      </c>
    </row>
    <row r="337" spans="8:13" x14ac:dyDescent="0.3">
      <c r="H337" t="str">
        <f t="shared" si="23"/>
        <v/>
      </c>
      <c r="I337" t="str">
        <f>IFERROR(VLOOKUP(H337,List!A:B, 2, FALSE), "")</f>
        <v/>
      </c>
      <c r="K337" t="str">
        <f t="shared" si="20"/>
        <v/>
      </c>
      <c r="L337" t="str">
        <f t="shared" si="21"/>
        <v/>
      </c>
      <c r="M337" t="str">
        <f t="shared" si="22"/>
        <v/>
      </c>
    </row>
    <row r="338" spans="8:13" x14ac:dyDescent="0.3">
      <c r="H338" t="str">
        <f t="shared" si="23"/>
        <v/>
      </c>
      <c r="I338" t="str">
        <f>IFERROR(VLOOKUP(H338,List!A:B, 2, FALSE), "")</f>
        <v/>
      </c>
      <c r="K338" t="str">
        <f t="shared" si="20"/>
        <v/>
      </c>
      <c r="L338" t="str">
        <f t="shared" si="21"/>
        <v/>
      </c>
      <c r="M338" t="str">
        <f t="shared" si="22"/>
        <v/>
      </c>
    </row>
    <row r="339" spans="8:13" x14ac:dyDescent="0.3">
      <c r="H339" t="str">
        <f t="shared" si="23"/>
        <v/>
      </c>
      <c r="I339" t="str">
        <f>IFERROR(VLOOKUP(H339,List!A:B, 2, FALSE), "")</f>
        <v/>
      </c>
      <c r="K339" t="str">
        <f t="shared" si="20"/>
        <v/>
      </c>
      <c r="L339" t="str">
        <f t="shared" si="21"/>
        <v/>
      </c>
      <c r="M339" t="str">
        <f t="shared" si="22"/>
        <v/>
      </c>
    </row>
    <row r="340" spans="8:13" x14ac:dyDescent="0.3">
      <c r="H340" t="str">
        <f t="shared" si="23"/>
        <v/>
      </c>
      <c r="I340" t="str">
        <f>IFERROR(VLOOKUP(H340,List!A:B, 2, FALSE), "")</f>
        <v/>
      </c>
      <c r="K340" t="str">
        <f t="shared" si="20"/>
        <v/>
      </c>
      <c r="L340" t="str">
        <f t="shared" si="21"/>
        <v/>
      </c>
      <c r="M340" t="str">
        <f t="shared" si="22"/>
        <v/>
      </c>
    </row>
    <row r="341" spans="8:13" x14ac:dyDescent="0.3">
      <c r="H341" t="str">
        <f t="shared" si="23"/>
        <v/>
      </c>
      <c r="I341" t="str">
        <f>IFERROR(VLOOKUP(H341,List!A:B, 2, FALSE), "")</f>
        <v/>
      </c>
      <c r="K341" t="str">
        <f t="shared" si="20"/>
        <v/>
      </c>
      <c r="L341" t="str">
        <f t="shared" si="21"/>
        <v/>
      </c>
      <c r="M341" t="str">
        <f t="shared" si="22"/>
        <v/>
      </c>
    </row>
    <row r="342" spans="8:13" x14ac:dyDescent="0.3">
      <c r="H342" t="str">
        <f t="shared" si="23"/>
        <v/>
      </c>
      <c r="I342" t="str">
        <f>IFERROR(VLOOKUP(H342,List!A:B, 2, FALSE), "")</f>
        <v/>
      </c>
      <c r="K342" t="str">
        <f t="shared" si="20"/>
        <v/>
      </c>
      <c r="L342" t="str">
        <f t="shared" si="21"/>
        <v/>
      </c>
      <c r="M342" t="str">
        <f t="shared" si="22"/>
        <v/>
      </c>
    </row>
    <row r="343" spans="8:13" x14ac:dyDescent="0.3">
      <c r="H343" t="str">
        <f t="shared" si="23"/>
        <v/>
      </c>
      <c r="I343" t="str">
        <f>IFERROR(VLOOKUP(H343,List!A:B, 2, FALSE), "")</f>
        <v/>
      </c>
      <c r="K343" t="str">
        <f t="shared" si="20"/>
        <v/>
      </c>
      <c r="L343" t="str">
        <f t="shared" si="21"/>
        <v/>
      </c>
      <c r="M343" t="str">
        <f t="shared" si="22"/>
        <v/>
      </c>
    </row>
    <row r="344" spans="8:13" x14ac:dyDescent="0.3">
      <c r="H344" t="str">
        <f t="shared" si="23"/>
        <v/>
      </c>
      <c r="I344" t="str">
        <f>IFERROR(VLOOKUP(H344,List!A:B, 2, FALSE), "")</f>
        <v/>
      </c>
      <c r="K344" t="str">
        <f t="shared" si="20"/>
        <v/>
      </c>
      <c r="L344" t="str">
        <f t="shared" si="21"/>
        <v/>
      </c>
      <c r="M344" t="str">
        <f t="shared" si="22"/>
        <v/>
      </c>
    </row>
    <row r="345" spans="8:13" x14ac:dyDescent="0.3">
      <c r="H345" t="str">
        <f t="shared" si="23"/>
        <v/>
      </c>
      <c r="I345" t="str">
        <f>IFERROR(VLOOKUP(H345,List!A:B, 2, FALSE), "")</f>
        <v/>
      </c>
      <c r="K345" t="str">
        <f t="shared" si="20"/>
        <v/>
      </c>
      <c r="L345" t="str">
        <f t="shared" si="21"/>
        <v/>
      </c>
      <c r="M345" t="str">
        <f t="shared" si="22"/>
        <v/>
      </c>
    </row>
    <row r="346" spans="8:13" x14ac:dyDescent="0.3">
      <c r="H346" t="str">
        <f t="shared" si="23"/>
        <v/>
      </c>
      <c r="I346" t="str">
        <f>IFERROR(VLOOKUP(H346,List!A:B, 2, FALSE), "")</f>
        <v/>
      </c>
      <c r="K346" t="str">
        <f t="shared" si="20"/>
        <v/>
      </c>
      <c r="L346" t="str">
        <f t="shared" si="21"/>
        <v/>
      </c>
      <c r="M346" t="str">
        <f t="shared" si="22"/>
        <v/>
      </c>
    </row>
    <row r="347" spans="8:13" x14ac:dyDescent="0.3">
      <c r="H347" t="str">
        <f t="shared" si="23"/>
        <v/>
      </c>
      <c r="I347" t="str">
        <f>IFERROR(VLOOKUP(H347,List!A:B, 2, FALSE), "")</f>
        <v/>
      </c>
      <c r="K347" t="str">
        <f t="shared" si="20"/>
        <v/>
      </c>
      <c r="L347" t="str">
        <f t="shared" si="21"/>
        <v/>
      </c>
      <c r="M347" t="str">
        <f t="shared" si="22"/>
        <v/>
      </c>
    </row>
    <row r="348" spans="8:13" x14ac:dyDescent="0.3">
      <c r="H348" t="str">
        <f t="shared" si="23"/>
        <v/>
      </c>
      <c r="I348" t="str">
        <f>IFERROR(VLOOKUP(H348,List!A:B, 2, FALSE), "")</f>
        <v/>
      </c>
      <c r="K348" t="str">
        <f t="shared" si="20"/>
        <v/>
      </c>
      <c r="L348" t="str">
        <f t="shared" si="21"/>
        <v/>
      </c>
      <c r="M348" t="str">
        <f t="shared" si="22"/>
        <v/>
      </c>
    </row>
    <row r="349" spans="8:13" x14ac:dyDescent="0.3">
      <c r="H349" t="str">
        <f t="shared" si="23"/>
        <v/>
      </c>
      <c r="I349" t="str">
        <f>IFERROR(VLOOKUP(H349,List!A:B, 2, FALSE), "")</f>
        <v/>
      </c>
      <c r="K349" t="str">
        <f t="shared" si="20"/>
        <v/>
      </c>
      <c r="L349" t="str">
        <f t="shared" si="21"/>
        <v/>
      </c>
      <c r="M349" t="str">
        <f t="shared" si="22"/>
        <v/>
      </c>
    </row>
    <row r="350" spans="8:13" x14ac:dyDescent="0.3">
      <c r="H350" t="str">
        <f t="shared" si="23"/>
        <v/>
      </c>
      <c r="I350" t="str">
        <f>IFERROR(VLOOKUP(H350,List!A:B, 2, FALSE), "")</f>
        <v/>
      </c>
      <c r="K350" t="str">
        <f t="shared" si="20"/>
        <v/>
      </c>
      <c r="L350" t="str">
        <f t="shared" si="21"/>
        <v/>
      </c>
      <c r="M350" t="str">
        <f t="shared" si="22"/>
        <v/>
      </c>
    </row>
    <row r="351" spans="8:13" x14ac:dyDescent="0.3">
      <c r="H351" t="str">
        <f t="shared" si="23"/>
        <v/>
      </c>
      <c r="I351" t="str">
        <f>IFERROR(VLOOKUP(H351,List!A:B, 2, FALSE), "")</f>
        <v/>
      </c>
      <c r="K351" t="str">
        <f t="shared" si="20"/>
        <v/>
      </c>
      <c r="L351" t="str">
        <f t="shared" si="21"/>
        <v/>
      </c>
      <c r="M351" t="str">
        <f t="shared" si="22"/>
        <v/>
      </c>
    </row>
    <row r="352" spans="8:13" x14ac:dyDescent="0.3">
      <c r="H352" t="str">
        <f t="shared" si="23"/>
        <v/>
      </c>
      <c r="I352" t="str">
        <f>IFERROR(VLOOKUP(H352,List!A:B, 2, FALSE), "")</f>
        <v/>
      </c>
      <c r="K352" t="str">
        <f t="shared" si="20"/>
        <v/>
      </c>
      <c r="L352" t="str">
        <f t="shared" si="21"/>
        <v/>
      </c>
      <c r="M352" t="str">
        <f t="shared" si="22"/>
        <v/>
      </c>
    </row>
    <row r="353" spans="8:13" x14ac:dyDescent="0.3">
      <c r="H353" t="str">
        <f t="shared" si="23"/>
        <v/>
      </c>
      <c r="I353" t="str">
        <f>IFERROR(VLOOKUP(H353,List!A:B, 2, FALSE), "")</f>
        <v/>
      </c>
      <c r="K353" t="str">
        <f t="shared" si="20"/>
        <v/>
      </c>
      <c r="L353" t="str">
        <f t="shared" si="21"/>
        <v/>
      </c>
      <c r="M353" t="str">
        <f t="shared" si="22"/>
        <v/>
      </c>
    </row>
    <row r="354" spans="8:13" x14ac:dyDescent="0.3">
      <c r="H354" t="str">
        <f t="shared" si="23"/>
        <v/>
      </c>
      <c r="I354" t="str">
        <f>IFERROR(VLOOKUP(H354,List!A:B, 2, FALSE), "")</f>
        <v/>
      </c>
      <c r="K354" t="str">
        <f t="shared" si="20"/>
        <v/>
      </c>
      <c r="L354" t="str">
        <f t="shared" si="21"/>
        <v/>
      </c>
      <c r="M354" t="str">
        <f t="shared" si="22"/>
        <v/>
      </c>
    </row>
    <row r="355" spans="8:13" x14ac:dyDescent="0.3">
      <c r="H355" t="str">
        <f t="shared" si="23"/>
        <v/>
      </c>
      <c r="I355" t="str">
        <f>IFERROR(VLOOKUP(H355,List!A:B, 2, FALSE), "")</f>
        <v/>
      </c>
      <c r="K355" t="str">
        <f t="shared" si="20"/>
        <v/>
      </c>
      <c r="L355" t="str">
        <f t="shared" si="21"/>
        <v/>
      </c>
      <c r="M355" t="str">
        <f t="shared" si="22"/>
        <v/>
      </c>
    </row>
    <row r="356" spans="8:13" x14ac:dyDescent="0.3">
      <c r="H356" t="str">
        <f t="shared" si="23"/>
        <v/>
      </c>
      <c r="I356" t="str">
        <f>IFERROR(VLOOKUP(H356,List!A:B, 2, FALSE), "")</f>
        <v/>
      </c>
      <c r="K356" t="str">
        <f t="shared" si="20"/>
        <v/>
      </c>
      <c r="L356" t="str">
        <f t="shared" si="21"/>
        <v/>
      </c>
      <c r="M356" t="str">
        <f t="shared" si="22"/>
        <v/>
      </c>
    </row>
    <row r="357" spans="8:13" x14ac:dyDescent="0.3">
      <c r="H357" t="str">
        <f t="shared" si="23"/>
        <v/>
      </c>
      <c r="I357" t="str">
        <f>IFERROR(VLOOKUP(H357,List!A:B, 2, FALSE), "")</f>
        <v/>
      </c>
      <c r="K357" t="str">
        <f t="shared" si="20"/>
        <v/>
      </c>
      <c r="L357" t="str">
        <f t="shared" si="21"/>
        <v/>
      </c>
      <c r="M357" t="str">
        <f t="shared" si="22"/>
        <v/>
      </c>
    </row>
    <row r="358" spans="8:13" x14ac:dyDescent="0.3">
      <c r="H358" t="str">
        <f t="shared" si="23"/>
        <v/>
      </c>
      <c r="I358" t="str">
        <f>IFERROR(VLOOKUP(H358,List!A:B, 2, FALSE), "")</f>
        <v/>
      </c>
      <c r="K358" t="str">
        <f t="shared" si="20"/>
        <v/>
      </c>
      <c r="L358" t="str">
        <f t="shared" si="21"/>
        <v/>
      </c>
      <c r="M358" t="str">
        <f t="shared" si="22"/>
        <v/>
      </c>
    </row>
    <row r="359" spans="8:13" x14ac:dyDescent="0.3">
      <c r="H359" t="str">
        <f t="shared" si="23"/>
        <v/>
      </c>
      <c r="I359" t="str">
        <f>IFERROR(VLOOKUP(H359,List!A:B, 2, FALSE), "")</f>
        <v/>
      </c>
      <c r="K359" t="str">
        <f t="shared" si="20"/>
        <v/>
      </c>
      <c r="L359" t="str">
        <f t="shared" si="21"/>
        <v/>
      </c>
      <c r="M359" t="str">
        <f t="shared" si="22"/>
        <v/>
      </c>
    </row>
    <row r="360" spans="8:13" x14ac:dyDescent="0.3">
      <c r="H360" t="str">
        <f t="shared" si="23"/>
        <v/>
      </c>
      <c r="I360" t="str">
        <f>IFERROR(VLOOKUP(H360,List!A:B, 2, FALSE), "")</f>
        <v/>
      </c>
      <c r="K360" t="str">
        <f t="shared" si="20"/>
        <v/>
      </c>
      <c r="L360" t="str">
        <f t="shared" si="21"/>
        <v/>
      </c>
      <c r="M360" t="str">
        <f t="shared" si="22"/>
        <v/>
      </c>
    </row>
    <row r="361" spans="8:13" x14ac:dyDescent="0.3">
      <c r="H361" t="str">
        <f t="shared" si="23"/>
        <v/>
      </c>
      <c r="I361" t="str">
        <f>IFERROR(VLOOKUP(H361,List!A:B, 2, FALSE), "")</f>
        <v/>
      </c>
      <c r="K361" t="str">
        <f t="shared" si="20"/>
        <v/>
      </c>
      <c r="L361" t="str">
        <f t="shared" si="21"/>
        <v/>
      </c>
      <c r="M361" t="str">
        <f t="shared" si="22"/>
        <v/>
      </c>
    </row>
    <row r="362" spans="8:13" x14ac:dyDescent="0.3">
      <c r="H362" t="str">
        <f t="shared" si="23"/>
        <v/>
      </c>
      <c r="I362" t="str">
        <f>IFERROR(VLOOKUP(H362,List!A:B, 2, FALSE), "")</f>
        <v/>
      </c>
      <c r="K362" t="str">
        <f t="shared" si="20"/>
        <v/>
      </c>
      <c r="L362" t="str">
        <f t="shared" si="21"/>
        <v/>
      </c>
      <c r="M362" t="str">
        <f t="shared" si="22"/>
        <v/>
      </c>
    </row>
    <row r="363" spans="8:13" x14ac:dyDescent="0.3">
      <c r="H363" t="str">
        <f t="shared" si="23"/>
        <v/>
      </c>
      <c r="I363" t="str">
        <f>IFERROR(VLOOKUP(H363,List!A:B, 2, FALSE), "")</f>
        <v/>
      </c>
      <c r="K363" t="str">
        <f t="shared" si="20"/>
        <v/>
      </c>
      <c r="L363" t="str">
        <f t="shared" si="21"/>
        <v/>
      </c>
      <c r="M363" t="str">
        <f t="shared" si="22"/>
        <v/>
      </c>
    </row>
    <row r="364" spans="8:13" x14ac:dyDescent="0.3">
      <c r="H364" t="str">
        <f t="shared" si="23"/>
        <v/>
      </c>
      <c r="I364" t="str">
        <f>IFERROR(VLOOKUP(H364,List!A:B, 2, FALSE), "")</f>
        <v/>
      </c>
      <c r="K364" t="str">
        <f t="shared" si="20"/>
        <v/>
      </c>
      <c r="L364" t="str">
        <f t="shared" si="21"/>
        <v/>
      </c>
      <c r="M364" t="str">
        <f t="shared" si="22"/>
        <v/>
      </c>
    </row>
    <row r="365" spans="8:13" x14ac:dyDescent="0.3">
      <c r="H365" t="str">
        <f t="shared" si="23"/>
        <v/>
      </c>
      <c r="I365" t="str">
        <f>IFERROR(VLOOKUP(H365,List!A:B, 2, FALSE), "")</f>
        <v/>
      </c>
      <c r="K365" t="str">
        <f t="shared" si="20"/>
        <v/>
      </c>
      <c r="L365" t="str">
        <f t="shared" si="21"/>
        <v/>
      </c>
      <c r="M365" t="str">
        <f t="shared" si="22"/>
        <v/>
      </c>
    </row>
    <row r="366" spans="8:13" x14ac:dyDescent="0.3">
      <c r="H366" t="str">
        <f t="shared" si="23"/>
        <v/>
      </c>
      <c r="I366" t="str">
        <f>IFERROR(VLOOKUP(H366,List!A:B, 2, FALSE), "")</f>
        <v/>
      </c>
      <c r="K366" t="str">
        <f t="shared" si="20"/>
        <v/>
      </c>
      <c r="L366" t="str">
        <f t="shared" si="21"/>
        <v/>
      </c>
      <c r="M366" t="str">
        <f t="shared" si="22"/>
        <v/>
      </c>
    </row>
    <row r="367" spans="8:13" x14ac:dyDescent="0.3">
      <c r="H367" t="str">
        <f t="shared" si="23"/>
        <v/>
      </c>
      <c r="I367" t="str">
        <f>IFERROR(VLOOKUP(H367,List!A:B, 2, FALSE), "")</f>
        <v/>
      </c>
      <c r="K367" t="str">
        <f t="shared" si="20"/>
        <v/>
      </c>
      <c r="L367" t="str">
        <f t="shared" si="21"/>
        <v/>
      </c>
      <c r="M367" t="str">
        <f t="shared" si="22"/>
        <v/>
      </c>
    </row>
    <row r="368" spans="8:13" x14ac:dyDescent="0.3">
      <c r="H368" t="str">
        <f t="shared" si="23"/>
        <v/>
      </c>
      <c r="I368" t="str">
        <f>IFERROR(VLOOKUP(H368,List!A:B, 2, FALSE), "")</f>
        <v/>
      </c>
      <c r="K368" t="str">
        <f t="shared" si="20"/>
        <v/>
      </c>
      <c r="L368" t="str">
        <f t="shared" si="21"/>
        <v/>
      </c>
      <c r="M368" t="str">
        <f t="shared" si="22"/>
        <v/>
      </c>
    </row>
    <row r="369" spans="8:13" x14ac:dyDescent="0.3">
      <c r="H369" t="str">
        <f t="shared" si="23"/>
        <v/>
      </c>
      <c r="I369" t="str">
        <f>IFERROR(VLOOKUP(H369,List!A:B, 2, FALSE), "")</f>
        <v/>
      </c>
      <c r="K369" t="str">
        <f t="shared" si="20"/>
        <v/>
      </c>
      <c r="L369" t="str">
        <f t="shared" si="21"/>
        <v/>
      </c>
      <c r="M369" t="str">
        <f t="shared" si="22"/>
        <v/>
      </c>
    </row>
    <row r="370" spans="8:13" x14ac:dyDescent="0.3">
      <c r="H370" t="str">
        <f t="shared" si="23"/>
        <v/>
      </c>
      <c r="I370" t="str">
        <f>IFERROR(VLOOKUP(H370,List!A:B, 2, FALSE), "")</f>
        <v/>
      </c>
      <c r="K370" t="str">
        <f t="shared" si="20"/>
        <v/>
      </c>
      <c r="L370" t="str">
        <f t="shared" si="21"/>
        <v/>
      </c>
      <c r="M370" t="str">
        <f t="shared" si="22"/>
        <v/>
      </c>
    </row>
    <row r="371" spans="8:13" x14ac:dyDescent="0.3">
      <c r="H371" t="str">
        <f t="shared" si="23"/>
        <v/>
      </c>
      <c r="I371" t="str">
        <f>IFERROR(VLOOKUP(H371,List!A:B, 2, FALSE), "")</f>
        <v/>
      </c>
      <c r="K371" t="str">
        <f t="shared" si="20"/>
        <v/>
      </c>
      <c r="L371" t="str">
        <f t="shared" si="21"/>
        <v/>
      </c>
      <c r="M371" t="str">
        <f t="shared" si="22"/>
        <v/>
      </c>
    </row>
    <row r="372" spans="8:13" x14ac:dyDescent="0.3">
      <c r="H372" t="str">
        <f t="shared" si="23"/>
        <v/>
      </c>
      <c r="I372" t="str">
        <f>IFERROR(VLOOKUP(H372,List!A:B, 2, FALSE), "")</f>
        <v/>
      </c>
      <c r="K372" t="str">
        <f t="shared" si="20"/>
        <v/>
      </c>
      <c r="L372" t="str">
        <f t="shared" si="21"/>
        <v/>
      </c>
      <c r="M372" t="str">
        <f t="shared" si="22"/>
        <v/>
      </c>
    </row>
    <row r="373" spans="8:13" x14ac:dyDescent="0.3">
      <c r="H373" t="str">
        <f t="shared" si="23"/>
        <v/>
      </c>
      <c r="I373" t="str">
        <f>IFERROR(VLOOKUP(H373,List!A:B, 2, FALSE), "")</f>
        <v/>
      </c>
      <c r="K373" t="str">
        <f t="shared" si="20"/>
        <v/>
      </c>
      <c r="L373" t="str">
        <f t="shared" si="21"/>
        <v/>
      </c>
      <c r="M373" t="str">
        <f t="shared" si="22"/>
        <v/>
      </c>
    </row>
    <row r="374" spans="8:13" x14ac:dyDescent="0.3">
      <c r="H374" t="str">
        <f t="shared" si="23"/>
        <v/>
      </c>
      <c r="I374" t="str">
        <f>IFERROR(VLOOKUP(H374,List!A:B, 2, FALSE), "")</f>
        <v/>
      </c>
      <c r="K374" t="str">
        <f t="shared" si="20"/>
        <v/>
      </c>
      <c r="L374" t="str">
        <f t="shared" si="21"/>
        <v/>
      </c>
      <c r="M374" t="str">
        <f t="shared" si="22"/>
        <v/>
      </c>
    </row>
    <row r="375" spans="8:13" x14ac:dyDescent="0.3">
      <c r="H375" t="str">
        <f t="shared" si="23"/>
        <v/>
      </c>
      <c r="I375" t="str">
        <f>IFERROR(VLOOKUP(H375,List!A:B, 2, FALSE), "")</f>
        <v/>
      </c>
      <c r="K375" t="str">
        <f t="shared" si="20"/>
        <v/>
      </c>
      <c r="L375" t="str">
        <f t="shared" si="21"/>
        <v/>
      </c>
      <c r="M375" t="str">
        <f t="shared" si="22"/>
        <v/>
      </c>
    </row>
    <row r="376" spans="8:13" x14ac:dyDescent="0.3">
      <c r="H376" t="str">
        <f t="shared" si="23"/>
        <v/>
      </c>
      <c r="I376" t="str">
        <f>IFERROR(VLOOKUP(H376,List!A:B, 2, FALSE), "")</f>
        <v/>
      </c>
      <c r="K376" t="str">
        <f t="shared" si="20"/>
        <v/>
      </c>
      <c r="L376" t="str">
        <f t="shared" si="21"/>
        <v/>
      </c>
      <c r="M376" t="str">
        <f t="shared" si="22"/>
        <v/>
      </c>
    </row>
    <row r="377" spans="8:13" x14ac:dyDescent="0.3">
      <c r="H377" t="str">
        <f t="shared" si="23"/>
        <v/>
      </c>
      <c r="I377" t="str">
        <f>IFERROR(VLOOKUP(H377,List!A:B, 2, FALSE), "")</f>
        <v/>
      </c>
      <c r="K377" t="str">
        <f t="shared" si="20"/>
        <v/>
      </c>
      <c r="L377" t="str">
        <f t="shared" si="21"/>
        <v/>
      </c>
      <c r="M377" t="str">
        <f t="shared" si="22"/>
        <v/>
      </c>
    </row>
    <row r="378" spans="8:13" x14ac:dyDescent="0.3">
      <c r="H378" t="str">
        <f t="shared" si="23"/>
        <v/>
      </c>
      <c r="I378" t="str">
        <f>IFERROR(VLOOKUP(H378,List!A:B, 2, FALSE), "")</f>
        <v/>
      </c>
      <c r="K378" t="str">
        <f t="shared" si="20"/>
        <v/>
      </c>
      <c r="L378" t="str">
        <f t="shared" si="21"/>
        <v/>
      </c>
      <c r="M378" t="str">
        <f t="shared" si="22"/>
        <v/>
      </c>
    </row>
    <row r="379" spans="8:13" x14ac:dyDescent="0.3">
      <c r="H379" t="str">
        <f t="shared" si="23"/>
        <v/>
      </c>
      <c r="I379" t="str">
        <f>IFERROR(VLOOKUP(H379,List!A:B, 2, FALSE), "")</f>
        <v/>
      </c>
      <c r="K379" t="str">
        <f t="shared" si="20"/>
        <v/>
      </c>
      <c r="L379" t="str">
        <f t="shared" si="21"/>
        <v/>
      </c>
      <c r="M379" t="str">
        <f t="shared" si="22"/>
        <v/>
      </c>
    </row>
    <row r="380" spans="8:13" x14ac:dyDescent="0.3">
      <c r="H380" t="str">
        <f t="shared" si="23"/>
        <v/>
      </c>
      <c r="I380" t="str">
        <f>IFERROR(VLOOKUP(H380,List!A:B, 2, FALSE), "")</f>
        <v/>
      </c>
      <c r="K380" t="str">
        <f t="shared" si="20"/>
        <v/>
      </c>
      <c r="L380" t="str">
        <f t="shared" si="21"/>
        <v/>
      </c>
      <c r="M380" t="str">
        <f t="shared" si="22"/>
        <v/>
      </c>
    </row>
    <row r="381" spans="8:13" x14ac:dyDescent="0.3">
      <c r="H381" t="str">
        <f t="shared" si="23"/>
        <v/>
      </c>
      <c r="I381" t="str">
        <f>IFERROR(VLOOKUP(H381,List!A:B, 2, FALSE), "")</f>
        <v/>
      </c>
      <c r="K381" t="str">
        <f t="shared" si="20"/>
        <v/>
      </c>
      <c r="L381" t="str">
        <f t="shared" si="21"/>
        <v/>
      </c>
      <c r="M381" t="str">
        <f t="shared" si="22"/>
        <v/>
      </c>
    </row>
    <row r="382" spans="8:13" x14ac:dyDescent="0.3">
      <c r="H382" t="str">
        <f t="shared" si="23"/>
        <v/>
      </c>
      <c r="I382" t="str">
        <f>IFERROR(VLOOKUP(H382,List!A:B, 2, FALSE), "")</f>
        <v/>
      </c>
      <c r="K382" t="str">
        <f t="shared" si="20"/>
        <v/>
      </c>
      <c r="L382" t="str">
        <f t="shared" si="21"/>
        <v/>
      </c>
      <c r="M382" t="str">
        <f t="shared" si="22"/>
        <v/>
      </c>
    </row>
    <row r="383" spans="8:13" x14ac:dyDescent="0.3">
      <c r="H383" t="str">
        <f t="shared" si="23"/>
        <v/>
      </c>
      <c r="I383" t="str">
        <f>IFERROR(VLOOKUP(H383,List!A:B, 2, FALSE), "")</f>
        <v/>
      </c>
      <c r="K383" t="str">
        <f t="shared" si="20"/>
        <v/>
      </c>
      <c r="L383" t="str">
        <f t="shared" si="21"/>
        <v/>
      </c>
      <c r="M383" t="str">
        <f t="shared" si="22"/>
        <v/>
      </c>
    </row>
    <row r="384" spans="8:13" x14ac:dyDescent="0.3">
      <c r="H384" t="str">
        <f t="shared" si="23"/>
        <v/>
      </c>
      <c r="I384" t="str">
        <f>IFERROR(VLOOKUP(H384,List!A:B, 2, FALSE), "")</f>
        <v/>
      </c>
      <c r="K384" t="str">
        <f t="shared" si="20"/>
        <v/>
      </c>
      <c r="L384" t="str">
        <f t="shared" si="21"/>
        <v/>
      </c>
      <c r="M384" t="str">
        <f t="shared" si="22"/>
        <v/>
      </c>
    </row>
    <row r="385" spans="8:13" x14ac:dyDescent="0.3">
      <c r="H385" t="str">
        <f t="shared" si="23"/>
        <v/>
      </c>
      <c r="I385" t="str">
        <f>IFERROR(VLOOKUP(H385,List!A:B, 2, FALSE), "")</f>
        <v/>
      </c>
      <c r="K385" t="str">
        <f t="shared" si="20"/>
        <v/>
      </c>
      <c r="L385" t="str">
        <f t="shared" si="21"/>
        <v/>
      </c>
      <c r="M385" t="str">
        <f t="shared" si="22"/>
        <v/>
      </c>
    </row>
    <row r="386" spans="8:13" x14ac:dyDescent="0.3">
      <c r="H386" t="str">
        <f t="shared" si="23"/>
        <v/>
      </c>
      <c r="I386" t="str">
        <f>IFERROR(VLOOKUP(H386,List!A:B, 2, FALSE), "")</f>
        <v/>
      </c>
      <c r="K386" t="str">
        <f t="shared" si="20"/>
        <v/>
      </c>
      <c r="L386" t="str">
        <f t="shared" si="21"/>
        <v/>
      </c>
      <c r="M386" t="str">
        <f t="shared" si="22"/>
        <v/>
      </c>
    </row>
    <row r="387" spans="8:13" x14ac:dyDescent="0.3">
      <c r="H387" t="str">
        <f t="shared" si="23"/>
        <v/>
      </c>
      <c r="I387" t="str">
        <f>IFERROR(VLOOKUP(H387,List!A:B, 2, FALSE), "")</f>
        <v/>
      </c>
      <c r="K387" t="str">
        <f t="shared" ref="K387:K450" si="24">SUBSTITUTE(SUBSTITUTE(SUBSTITUTE(SUBSTITUTE(C387,"-",""),"+",""),"p:","")," ","")</f>
        <v/>
      </c>
      <c r="L387" t="str">
        <f t="shared" ref="L387:L450" si="25">K387</f>
        <v/>
      </c>
      <c r="M387" t="str">
        <f t="shared" ref="M387:M450" si="26">IF(LEFT(L387, 2) = "91", RIGHT(L387, LEN(L387) - 2),
 IF(LEFT(L387, 3) = "971", RIGHT(L387, LEN(L387) - 3),
  IF(LEFT(L387, 2) = "92", RIGHT(L387, LEN(L387) - 2),
   IF(LEFT(L387, 3) = "974", RIGHT(L387, LEN(L387) - 3),
    IF(LEFT(L387, 2) = "60", RIGHT(L387, LEN(L387) - 2),
     IF(LEFT(L387, 2) = "65", RIGHT(L387, LEN(L387) - 2),
      IF(LEFT(L387, 3) = "966", RIGHT(L387, LEN(L387) - 3),
       IF(LEFT(L387, 3) = "967", RIGHT(L387, LEN(L387) - 3),
        IF(LEFT(L387, 3) = "968", RIGHT(L387, LEN(L387) - 3),
         IF(LEFT(L387, 3) = "249", RIGHT(L387, LEN(L387) - 3),
          IF(LEFT(L387, 3) = "213", RIGHT(L387, LEN(L387) - 3),
           IF(LEFT(L387, 3) = "965", RIGHT(L387, LEN(L387) - 3),
            IF(LEFT(L387, 3) = "1", RIGHT(L387, LEN(L387) - 1),
             IF(LEFT(L387, 3) = "973", RIGHT(L387, LEN(L387) - 3),
              IF(LEFT(L387, 3) = "233", RIGHT(L387, LEN(L387) - 3),
               IF(LEFT(L387, 3) = "977", RIGHT(L387, LEN(L387) - 3),
                IF(LEFT(L387, 2) = "20", RIGHT(L387, LEN(L387) - 2),
                 L387
                )
               )
              )
             )
            )
           )
          )
         )
        )
       )
      )
     )
    )
   )
  )
 )
)</f>
        <v/>
      </c>
    </row>
    <row r="388" spans="8:13" x14ac:dyDescent="0.3">
      <c r="H388" t="str">
        <f t="shared" si="23"/>
        <v/>
      </c>
      <c r="I388" t="str">
        <f>IFERROR(VLOOKUP(H388,List!A:B, 2, FALSE), "")</f>
        <v/>
      </c>
      <c r="K388" t="str">
        <f t="shared" si="24"/>
        <v/>
      </c>
      <c r="L388" t="str">
        <f t="shared" si="25"/>
        <v/>
      </c>
      <c r="M388" t="str">
        <f t="shared" si="26"/>
        <v/>
      </c>
    </row>
    <row r="389" spans="8:13" x14ac:dyDescent="0.3">
      <c r="H389" t="str">
        <f t="shared" si="23"/>
        <v/>
      </c>
      <c r="I389" t="str">
        <f>IFERROR(VLOOKUP(H389,List!A:B, 2, FALSE), "")</f>
        <v/>
      </c>
      <c r="K389" t="str">
        <f t="shared" si="24"/>
        <v/>
      </c>
      <c r="L389" t="str">
        <f t="shared" si="25"/>
        <v/>
      </c>
      <c r="M389" t="str">
        <f t="shared" si="26"/>
        <v/>
      </c>
    </row>
    <row r="390" spans="8:13" x14ac:dyDescent="0.3">
      <c r="H390" t="str">
        <f t="shared" si="23"/>
        <v/>
      </c>
      <c r="I390" t="str">
        <f>IFERROR(VLOOKUP(H390,List!A:B, 2, FALSE), "")</f>
        <v/>
      </c>
      <c r="K390" t="str">
        <f t="shared" si="24"/>
        <v/>
      </c>
      <c r="L390" t="str">
        <f t="shared" si="25"/>
        <v/>
      </c>
      <c r="M390" t="str">
        <f t="shared" si="26"/>
        <v/>
      </c>
    </row>
    <row r="391" spans="8:13" x14ac:dyDescent="0.3">
      <c r="H391" t="str">
        <f t="shared" ref="H391:H454" si="27">IF(N391=0,"","")</f>
        <v/>
      </c>
      <c r="I391" t="str">
        <f>IFERROR(VLOOKUP(H391,List!A:B, 2, FALSE), "")</f>
        <v/>
      </c>
      <c r="K391" t="str">
        <f t="shared" si="24"/>
        <v/>
      </c>
      <c r="L391" t="str">
        <f t="shared" si="25"/>
        <v/>
      </c>
      <c r="M391" t="str">
        <f t="shared" si="26"/>
        <v/>
      </c>
    </row>
    <row r="392" spans="8:13" x14ac:dyDescent="0.3">
      <c r="H392" t="str">
        <f t="shared" si="27"/>
        <v/>
      </c>
      <c r="I392" t="str">
        <f>IFERROR(VLOOKUP(H392,List!A:B, 2, FALSE), "")</f>
        <v/>
      </c>
      <c r="K392" t="str">
        <f t="shared" si="24"/>
        <v/>
      </c>
      <c r="L392" t="str">
        <f t="shared" si="25"/>
        <v/>
      </c>
      <c r="M392" t="str">
        <f t="shared" si="26"/>
        <v/>
      </c>
    </row>
    <row r="393" spans="8:13" x14ac:dyDescent="0.3">
      <c r="H393" t="str">
        <f t="shared" si="27"/>
        <v/>
      </c>
      <c r="I393" t="str">
        <f>IFERROR(VLOOKUP(H393,List!A:B, 2, FALSE), "")</f>
        <v/>
      </c>
      <c r="K393" t="str">
        <f t="shared" si="24"/>
        <v/>
      </c>
      <c r="L393" t="str">
        <f t="shared" si="25"/>
        <v/>
      </c>
      <c r="M393" t="str">
        <f t="shared" si="26"/>
        <v/>
      </c>
    </row>
    <row r="394" spans="8:13" x14ac:dyDescent="0.3">
      <c r="H394" t="str">
        <f t="shared" si="27"/>
        <v/>
      </c>
      <c r="I394" t="str">
        <f>IFERROR(VLOOKUP(H394,List!A:B, 2, FALSE), "")</f>
        <v/>
      </c>
      <c r="K394" t="str">
        <f t="shared" si="24"/>
        <v/>
      </c>
      <c r="L394" t="str">
        <f t="shared" si="25"/>
        <v/>
      </c>
      <c r="M394" t="str">
        <f t="shared" si="26"/>
        <v/>
      </c>
    </row>
    <row r="395" spans="8:13" x14ac:dyDescent="0.3">
      <c r="H395" t="str">
        <f t="shared" si="27"/>
        <v/>
      </c>
      <c r="I395" t="str">
        <f>IFERROR(VLOOKUP(H395,List!A:B, 2, FALSE), "")</f>
        <v/>
      </c>
      <c r="K395" t="str">
        <f t="shared" si="24"/>
        <v/>
      </c>
      <c r="L395" t="str">
        <f t="shared" si="25"/>
        <v/>
      </c>
      <c r="M395" t="str">
        <f t="shared" si="26"/>
        <v/>
      </c>
    </row>
    <row r="396" spans="8:13" x14ac:dyDescent="0.3">
      <c r="H396" t="str">
        <f t="shared" si="27"/>
        <v/>
      </c>
      <c r="I396" t="str">
        <f>IFERROR(VLOOKUP(H396,List!A:B, 2, FALSE), "")</f>
        <v/>
      </c>
      <c r="K396" t="str">
        <f t="shared" si="24"/>
        <v/>
      </c>
      <c r="L396" t="str">
        <f t="shared" si="25"/>
        <v/>
      </c>
      <c r="M396" t="str">
        <f t="shared" si="26"/>
        <v/>
      </c>
    </row>
    <row r="397" spans="8:13" x14ac:dyDescent="0.3">
      <c r="H397" t="str">
        <f t="shared" si="27"/>
        <v/>
      </c>
      <c r="I397" t="str">
        <f>IFERROR(VLOOKUP(H397,List!A:B, 2, FALSE), "")</f>
        <v/>
      </c>
      <c r="K397" t="str">
        <f t="shared" si="24"/>
        <v/>
      </c>
      <c r="L397" t="str">
        <f t="shared" si="25"/>
        <v/>
      </c>
      <c r="M397" t="str">
        <f t="shared" si="26"/>
        <v/>
      </c>
    </row>
    <row r="398" spans="8:13" x14ac:dyDescent="0.3">
      <c r="H398" t="str">
        <f t="shared" si="27"/>
        <v/>
      </c>
      <c r="I398" t="str">
        <f>IFERROR(VLOOKUP(H398,List!A:B, 2, FALSE), "")</f>
        <v/>
      </c>
      <c r="K398" t="str">
        <f t="shared" si="24"/>
        <v/>
      </c>
      <c r="L398" t="str">
        <f t="shared" si="25"/>
        <v/>
      </c>
      <c r="M398" t="str">
        <f t="shared" si="26"/>
        <v/>
      </c>
    </row>
    <row r="399" spans="8:13" x14ac:dyDescent="0.3">
      <c r="H399" t="str">
        <f t="shared" si="27"/>
        <v/>
      </c>
      <c r="I399" t="str">
        <f>IFERROR(VLOOKUP(H399,List!A:B, 2, FALSE), "")</f>
        <v/>
      </c>
      <c r="K399" t="str">
        <f t="shared" si="24"/>
        <v/>
      </c>
      <c r="L399" t="str">
        <f t="shared" si="25"/>
        <v/>
      </c>
      <c r="M399" t="str">
        <f t="shared" si="26"/>
        <v/>
      </c>
    </row>
    <row r="400" spans="8:13" x14ac:dyDescent="0.3">
      <c r="H400" t="str">
        <f t="shared" si="27"/>
        <v/>
      </c>
      <c r="I400" t="str">
        <f>IFERROR(VLOOKUP(H400,List!A:B, 2, FALSE), "")</f>
        <v/>
      </c>
      <c r="K400" t="str">
        <f t="shared" si="24"/>
        <v/>
      </c>
      <c r="L400" t="str">
        <f t="shared" si="25"/>
        <v/>
      </c>
      <c r="M400" t="str">
        <f t="shared" si="26"/>
        <v/>
      </c>
    </row>
    <row r="401" spans="8:13" x14ac:dyDescent="0.3">
      <c r="H401" t="str">
        <f t="shared" si="27"/>
        <v/>
      </c>
      <c r="I401" t="str">
        <f>IFERROR(VLOOKUP(H401,List!A:B, 2, FALSE), "")</f>
        <v/>
      </c>
      <c r="K401" t="str">
        <f t="shared" si="24"/>
        <v/>
      </c>
      <c r="L401" t="str">
        <f t="shared" si="25"/>
        <v/>
      </c>
      <c r="M401" t="str">
        <f t="shared" si="26"/>
        <v/>
      </c>
    </row>
    <row r="402" spans="8:13" x14ac:dyDescent="0.3">
      <c r="H402" t="str">
        <f t="shared" si="27"/>
        <v/>
      </c>
      <c r="I402" t="str">
        <f>IFERROR(VLOOKUP(H402,List!A:B, 2, FALSE), "")</f>
        <v/>
      </c>
      <c r="K402" t="str">
        <f t="shared" si="24"/>
        <v/>
      </c>
      <c r="L402" t="str">
        <f t="shared" si="25"/>
        <v/>
      </c>
      <c r="M402" t="str">
        <f t="shared" si="26"/>
        <v/>
      </c>
    </row>
    <row r="403" spans="8:13" x14ac:dyDescent="0.3">
      <c r="H403" t="str">
        <f t="shared" si="27"/>
        <v/>
      </c>
      <c r="I403" t="str">
        <f>IFERROR(VLOOKUP(H403,List!A:B, 2, FALSE), "")</f>
        <v/>
      </c>
      <c r="K403" t="str">
        <f t="shared" si="24"/>
        <v/>
      </c>
      <c r="L403" t="str">
        <f t="shared" si="25"/>
        <v/>
      </c>
      <c r="M403" t="str">
        <f t="shared" si="26"/>
        <v/>
      </c>
    </row>
    <row r="404" spans="8:13" x14ac:dyDescent="0.3">
      <c r="H404" t="str">
        <f t="shared" si="27"/>
        <v/>
      </c>
      <c r="I404" t="str">
        <f>IFERROR(VLOOKUP(H404,List!A:B, 2, FALSE), "")</f>
        <v/>
      </c>
      <c r="K404" t="str">
        <f t="shared" si="24"/>
        <v/>
      </c>
      <c r="L404" t="str">
        <f t="shared" si="25"/>
        <v/>
      </c>
      <c r="M404" t="str">
        <f t="shared" si="26"/>
        <v/>
      </c>
    </row>
    <row r="405" spans="8:13" x14ac:dyDescent="0.3">
      <c r="H405" t="str">
        <f t="shared" si="27"/>
        <v/>
      </c>
      <c r="I405" t="str">
        <f>IFERROR(VLOOKUP(H405,List!A:B, 2, FALSE), "")</f>
        <v/>
      </c>
      <c r="K405" t="str">
        <f t="shared" si="24"/>
        <v/>
      </c>
      <c r="L405" t="str">
        <f t="shared" si="25"/>
        <v/>
      </c>
      <c r="M405" t="str">
        <f t="shared" si="26"/>
        <v/>
      </c>
    </row>
    <row r="406" spans="8:13" x14ac:dyDescent="0.3">
      <c r="H406" t="str">
        <f t="shared" si="27"/>
        <v/>
      </c>
      <c r="I406" t="str">
        <f>IFERROR(VLOOKUP(H406,List!A:B, 2, FALSE), "")</f>
        <v/>
      </c>
      <c r="K406" t="str">
        <f t="shared" si="24"/>
        <v/>
      </c>
      <c r="L406" t="str">
        <f t="shared" si="25"/>
        <v/>
      </c>
      <c r="M406" t="str">
        <f t="shared" si="26"/>
        <v/>
      </c>
    </row>
    <row r="407" spans="8:13" x14ac:dyDescent="0.3">
      <c r="H407" t="str">
        <f t="shared" si="27"/>
        <v/>
      </c>
      <c r="I407" t="str">
        <f>IFERROR(VLOOKUP(H407,List!A:B, 2, FALSE), "")</f>
        <v/>
      </c>
      <c r="K407" t="str">
        <f t="shared" si="24"/>
        <v/>
      </c>
      <c r="L407" t="str">
        <f t="shared" si="25"/>
        <v/>
      </c>
      <c r="M407" t="str">
        <f t="shared" si="26"/>
        <v/>
      </c>
    </row>
    <row r="408" spans="8:13" x14ac:dyDescent="0.3">
      <c r="H408" t="str">
        <f t="shared" si="27"/>
        <v/>
      </c>
      <c r="I408" t="str">
        <f>IFERROR(VLOOKUP(H408,List!A:B, 2, FALSE), "")</f>
        <v/>
      </c>
      <c r="K408" t="str">
        <f t="shared" si="24"/>
        <v/>
      </c>
      <c r="L408" t="str">
        <f t="shared" si="25"/>
        <v/>
      </c>
      <c r="M408" t="str">
        <f t="shared" si="26"/>
        <v/>
      </c>
    </row>
    <row r="409" spans="8:13" x14ac:dyDescent="0.3">
      <c r="H409" t="str">
        <f t="shared" si="27"/>
        <v/>
      </c>
      <c r="I409" t="str">
        <f>IFERROR(VLOOKUP(H409,List!A:B, 2, FALSE), "")</f>
        <v/>
      </c>
      <c r="K409" t="str">
        <f t="shared" si="24"/>
        <v/>
      </c>
      <c r="L409" t="str">
        <f t="shared" si="25"/>
        <v/>
      </c>
      <c r="M409" t="str">
        <f t="shared" si="26"/>
        <v/>
      </c>
    </row>
    <row r="410" spans="8:13" x14ac:dyDescent="0.3">
      <c r="H410" t="str">
        <f t="shared" si="27"/>
        <v/>
      </c>
      <c r="I410" t="str">
        <f>IFERROR(VLOOKUP(H410,List!A:B, 2, FALSE), "")</f>
        <v/>
      </c>
      <c r="K410" t="str">
        <f t="shared" si="24"/>
        <v/>
      </c>
      <c r="L410" t="str">
        <f t="shared" si="25"/>
        <v/>
      </c>
      <c r="M410" t="str">
        <f t="shared" si="26"/>
        <v/>
      </c>
    </row>
    <row r="411" spans="8:13" x14ac:dyDescent="0.3">
      <c r="H411" t="str">
        <f t="shared" si="27"/>
        <v/>
      </c>
      <c r="I411" t="str">
        <f>IFERROR(VLOOKUP(H411,List!A:B, 2, FALSE), "")</f>
        <v/>
      </c>
      <c r="K411" t="str">
        <f t="shared" si="24"/>
        <v/>
      </c>
      <c r="L411" t="str">
        <f t="shared" si="25"/>
        <v/>
      </c>
      <c r="M411" t="str">
        <f t="shared" si="26"/>
        <v/>
      </c>
    </row>
    <row r="412" spans="8:13" x14ac:dyDescent="0.3">
      <c r="H412" t="str">
        <f t="shared" si="27"/>
        <v/>
      </c>
      <c r="I412" t="str">
        <f>IFERROR(VLOOKUP(H412,List!A:B, 2, FALSE), "")</f>
        <v/>
      </c>
      <c r="K412" t="str">
        <f t="shared" si="24"/>
        <v/>
      </c>
      <c r="L412" t="str">
        <f t="shared" si="25"/>
        <v/>
      </c>
      <c r="M412" t="str">
        <f t="shared" si="26"/>
        <v/>
      </c>
    </row>
    <row r="413" spans="8:13" x14ac:dyDescent="0.3">
      <c r="H413" t="str">
        <f t="shared" si="27"/>
        <v/>
      </c>
      <c r="I413" t="str">
        <f>IFERROR(VLOOKUP(H413,List!A:B, 2, FALSE), "")</f>
        <v/>
      </c>
      <c r="K413" t="str">
        <f t="shared" si="24"/>
        <v/>
      </c>
      <c r="L413" t="str">
        <f t="shared" si="25"/>
        <v/>
      </c>
      <c r="M413" t="str">
        <f t="shared" si="26"/>
        <v/>
      </c>
    </row>
    <row r="414" spans="8:13" x14ac:dyDescent="0.3">
      <c r="H414" t="str">
        <f t="shared" si="27"/>
        <v/>
      </c>
      <c r="I414" t="str">
        <f>IFERROR(VLOOKUP(H414,List!A:B, 2, FALSE), "")</f>
        <v/>
      </c>
      <c r="K414" t="str">
        <f t="shared" si="24"/>
        <v/>
      </c>
      <c r="L414" t="str">
        <f t="shared" si="25"/>
        <v/>
      </c>
      <c r="M414" t="str">
        <f t="shared" si="26"/>
        <v/>
      </c>
    </row>
    <row r="415" spans="8:13" x14ac:dyDescent="0.3">
      <c r="H415" t="str">
        <f t="shared" si="27"/>
        <v/>
      </c>
      <c r="I415" t="str">
        <f>IFERROR(VLOOKUP(H415,List!A:B, 2, FALSE), "")</f>
        <v/>
      </c>
      <c r="K415" t="str">
        <f t="shared" si="24"/>
        <v/>
      </c>
      <c r="L415" t="str">
        <f t="shared" si="25"/>
        <v/>
      </c>
      <c r="M415" t="str">
        <f t="shared" si="26"/>
        <v/>
      </c>
    </row>
    <row r="416" spans="8:13" x14ac:dyDescent="0.3">
      <c r="H416" t="str">
        <f t="shared" si="27"/>
        <v/>
      </c>
      <c r="I416" t="str">
        <f>IFERROR(VLOOKUP(H416,List!A:B, 2, FALSE), "")</f>
        <v/>
      </c>
      <c r="K416" t="str">
        <f t="shared" si="24"/>
        <v/>
      </c>
      <c r="L416" t="str">
        <f t="shared" si="25"/>
        <v/>
      </c>
      <c r="M416" t="str">
        <f t="shared" si="26"/>
        <v/>
      </c>
    </row>
    <row r="417" spans="8:13" x14ac:dyDescent="0.3">
      <c r="H417" t="str">
        <f t="shared" si="27"/>
        <v/>
      </c>
      <c r="I417" t="str">
        <f>IFERROR(VLOOKUP(H417,List!A:B, 2, FALSE), "")</f>
        <v/>
      </c>
      <c r="K417" t="str">
        <f t="shared" si="24"/>
        <v/>
      </c>
      <c r="L417" t="str">
        <f t="shared" si="25"/>
        <v/>
      </c>
      <c r="M417" t="str">
        <f t="shared" si="26"/>
        <v/>
      </c>
    </row>
    <row r="418" spans="8:13" x14ac:dyDescent="0.3">
      <c r="H418" t="str">
        <f t="shared" si="27"/>
        <v/>
      </c>
      <c r="I418" t="str">
        <f>IFERROR(VLOOKUP(H418,List!A:B, 2, FALSE), "")</f>
        <v/>
      </c>
      <c r="K418" t="str">
        <f t="shared" si="24"/>
        <v/>
      </c>
      <c r="L418" t="str">
        <f t="shared" si="25"/>
        <v/>
      </c>
      <c r="M418" t="str">
        <f t="shared" si="26"/>
        <v/>
      </c>
    </row>
    <row r="419" spans="8:13" x14ac:dyDescent="0.3">
      <c r="H419" t="str">
        <f t="shared" si="27"/>
        <v/>
      </c>
      <c r="I419" t="str">
        <f>IFERROR(VLOOKUP(H419,List!A:B, 2, FALSE), "")</f>
        <v/>
      </c>
      <c r="K419" t="str">
        <f t="shared" si="24"/>
        <v/>
      </c>
      <c r="L419" t="str">
        <f t="shared" si="25"/>
        <v/>
      </c>
      <c r="M419" t="str">
        <f t="shared" si="26"/>
        <v/>
      </c>
    </row>
    <row r="420" spans="8:13" x14ac:dyDescent="0.3">
      <c r="H420" t="str">
        <f t="shared" si="27"/>
        <v/>
      </c>
      <c r="I420" t="str">
        <f>IFERROR(VLOOKUP(H420,List!A:B, 2, FALSE), "")</f>
        <v/>
      </c>
      <c r="K420" t="str">
        <f t="shared" si="24"/>
        <v/>
      </c>
      <c r="L420" t="str">
        <f t="shared" si="25"/>
        <v/>
      </c>
      <c r="M420" t="str">
        <f t="shared" si="26"/>
        <v/>
      </c>
    </row>
    <row r="421" spans="8:13" x14ac:dyDescent="0.3">
      <c r="H421" t="str">
        <f t="shared" si="27"/>
        <v/>
      </c>
      <c r="I421" t="str">
        <f>IFERROR(VLOOKUP(H421,List!A:B, 2, FALSE), "")</f>
        <v/>
      </c>
      <c r="K421" t="str">
        <f t="shared" si="24"/>
        <v/>
      </c>
      <c r="L421" t="str">
        <f t="shared" si="25"/>
        <v/>
      </c>
      <c r="M421" t="str">
        <f t="shared" si="26"/>
        <v/>
      </c>
    </row>
    <row r="422" spans="8:13" x14ac:dyDescent="0.3">
      <c r="H422" t="str">
        <f t="shared" si="27"/>
        <v/>
      </c>
      <c r="I422" t="str">
        <f>IFERROR(VLOOKUP(H422,List!A:B, 2, FALSE), "")</f>
        <v/>
      </c>
      <c r="K422" t="str">
        <f t="shared" si="24"/>
        <v/>
      </c>
      <c r="L422" t="str">
        <f t="shared" si="25"/>
        <v/>
      </c>
      <c r="M422" t="str">
        <f t="shared" si="26"/>
        <v/>
      </c>
    </row>
    <row r="423" spans="8:13" x14ac:dyDescent="0.3">
      <c r="H423" t="str">
        <f t="shared" si="27"/>
        <v/>
      </c>
      <c r="I423" t="str">
        <f>IFERROR(VLOOKUP(H423,List!A:B, 2, FALSE), "")</f>
        <v/>
      </c>
      <c r="K423" t="str">
        <f t="shared" si="24"/>
        <v/>
      </c>
      <c r="L423" t="str">
        <f t="shared" si="25"/>
        <v/>
      </c>
      <c r="M423" t="str">
        <f t="shared" si="26"/>
        <v/>
      </c>
    </row>
    <row r="424" spans="8:13" x14ac:dyDescent="0.3">
      <c r="H424" t="str">
        <f t="shared" si="27"/>
        <v/>
      </c>
      <c r="I424" t="str">
        <f>IFERROR(VLOOKUP(H424,List!A:B, 2, FALSE), "")</f>
        <v/>
      </c>
      <c r="K424" t="str">
        <f t="shared" si="24"/>
        <v/>
      </c>
      <c r="L424" t="str">
        <f t="shared" si="25"/>
        <v/>
      </c>
      <c r="M424" t="str">
        <f t="shared" si="26"/>
        <v/>
      </c>
    </row>
    <row r="425" spans="8:13" x14ac:dyDescent="0.3">
      <c r="H425" t="str">
        <f t="shared" si="27"/>
        <v/>
      </c>
      <c r="I425" t="str">
        <f>IFERROR(VLOOKUP(H425,List!A:B, 2, FALSE), "")</f>
        <v/>
      </c>
      <c r="K425" t="str">
        <f t="shared" si="24"/>
        <v/>
      </c>
      <c r="L425" t="str">
        <f t="shared" si="25"/>
        <v/>
      </c>
      <c r="M425" t="str">
        <f t="shared" si="26"/>
        <v/>
      </c>
    </row>
    <row r="426" spans="8:13" x14ac:dyDescent="0.3">
      <c r="H426" t="str">
        <f t="shared" si="27"/>
        <v/>
      </c>
      <c r="I426" t="str">
        <f>IFERROR(VLOOKUP(H426,List!A:B, 2, FALSE), "")</f>
        <v/>
      </c>
      <c r="K426" t="str">
        <f t="shared" si="24"/>
        <v/>
      </c>
      <c r="L426" t="str">
        <f t="shared" si="25"/>
        <v/>
      </c>
      <c r="M426" t="str">
        <f t="shared" si="26"/>
        <v/>
      </c>
    </row>
    <row r="427" spans="8:13" x14ac:dyDescent="0.3">
      <c r="H427" t="str">
        <f t="shared" si="27"/>
        <v/>
      </c>
      <c r="I427" t="str">
        <f>IFERROR(VLOOKUP(H427,List!A:B, 2, FALSE), "")</f>
        <v/>
      </c>
      <c r="K427" t="str">
        <f t="shared" si="24"/>
        <v/>
      </c>
      <c r="L427" t="str">
        <f t="shared" si="25"/>
        <v/>
      </c>
      <c r="M427" t="str">
        <f t="shared" si="26"/>
        <v/>
      </c>
    </row>
    <row r="428" spans="8:13" x14ac:dyDescent="0.3">
      <c r="H428" t="str">
        <f t="shared" si="27"/>
        <v/>
      </c>
      <c r="I428" t="str">
        <f>IFERROR(VLOOKUP(H428,List!A:B, 2, FALSE), "")</f>
        <v/>
      </c>
      <c r="K428" t="str">
        <f t="shared" si="24"/>
        <v/>
      </c>
      <c r="L428" t="str">
        <f t="shared" si="25"/>
        <v/>
      </c>
      <c r="M428" t="str">
        <f t="shared" si="26"/>
        <v/>
      </c>
    </row>
    <row r="429" spans="8:13" x14ac:dyDescent="0.3">
      <c r="H429" t="str">
        <f t="shared" si="27"/>
        <v/>
      </c>
      <c r="I429" t="str">
        <f>IFERROR(VLOOKUP(H429,List!A:B, 2, FALSE), "")</f>
        <v/>
      </c>
      <c r="K429" t="str">
        <f t="shared" si="24"/>
        <v/>
      </c>
      <c r="L429" t="str">
        <f t="shared" si="25"/>
        <v/>
      </c>
      <c r="M429" t="str">
        <f t="shared" si="26"/>
        <v/>
      </c>
    </row>
    <row r="430" spans="8:13" x14ac:dyDescent="0.3">
      <c r="H430" t="str">
        <f t="shared" si="27"/>
        <v/>
      </c>
      <c r="I430" t="str">
        <f>IFERROR(VLOOKUP(H430,List!A:B, 2, FALSE), "")</f>
        <v/>
      </c>
      <c r="K430" t="str">
        <f t="shared" si="24"/>
        <v/>
      </c>
      <c r="L430" t="str">
        <f t="shared" si="25"/>
        <v/>
      </c>
      <c r="M430" t="str">
        <f t="shared" si="26"/>
        <v/>
      </c>
    </row>
    <row r="431" spans="8:13" x14ac:dyDescent="0.3">
      <c r="H431" t="str">
        <f t="shared" si="27"/>
        <v/>
      </c>
      <c r="I431" t="str">
        <f>IFERROR(VLOOKUP(H431,List!A:B, 2, FALSE), "")</f>
        <v/>
      </c>
      <c r="K431" t="str">
        <f t="shared" si="24"/>
        <v/>
      </c>
      <c r="L431" t="str">
        <f t="shared" si="25"/>
        <v/>
      </c>
      <c r="M431" t="str">
        <f t="shared" si="26"/>
        <v/>
      </c>
    </row>
    <row r="432" spans="8:13" x14ac:dyDescent="0.3">
      <c r="H432" t="str">
        <f t="shared" si="27"/>
        <v/>
      </c>
      <c r="I432" t="str">
        <f>IFERROR(VLOOKUP(H432,List!A:B, 2, FALSE), "")</f>
        <v/>
      </c>
      <c r="K432" t="str">
        <f t="shared" si="24"/>
        <v/>
      </c>
      <c r="L432" t="str">
        <f t="shared" si="25"/>
        <v/>
      </c>
      <c r="M432" t="str">
        <f t="shared" si="26"/>
        <v/>
      </c>
    </row>
    <row r="433" spans="8:13" x14ac:dyDescent="0.3">
      <c r="H433" t="str">
        <f t="shared" si="27"/>
        <v/>
      </c>
      <c r="I433" t="str">
        <f>IFERROR(VLOOKUP(H433,List!A:B, 2, FALSE), "")</f>
        <v/>
      </c>
      <c r="K433" t="str">
        <f t="shared" si="24"/>
        <v/>
      </c>
      <c r="L433" t="str">
        <f t="shared" si="25"/>
        <v/>
      </c>
      <c r="M433" t="str">
        <f t="shared" si="26"/>
        <v/>
      </c>
    </row>
    <row r="434" spans="8:13" x14ac:dyDescent="0.3">
      <c r="H434" t="str">
        <f t="shared" si="27"/>
        <v/>
      </c>
      <c r="I434" t="str">
        <f>IFERROR(VLOOKUP(H434,List!A:B, 2, FALSE), "")</f>
        <v/>
      </c>
      <c r="K434" t="str">
        <f t="shared" si="24"/>
        <v/>
      </c>
      <c r="L434" t="str">
        <f t="shared" si="25"/>
        <v/>
      </c>
      <c r="M434" t="str">
        <f t="shared" si="26"/>
        <v/>
      </c>
    </row>
    <row r="435" spans="8:13" x14ac:dyDescent="0.3">
      <c r="H435" t="str">
        <f t="shared" si="27"/>
        <v/>
      </c>
      <c r="I435" t="str">
        <f>IFERROR(VLOOKUP(H435,List!A:B, 2, FALSE), "")</f>
        <v/>
      </c>
      <c r="K435" t="str">
        <f t="shared" si="24"/>
        <v/>
      </c>
      <c r="L435" t="str">
        <f t="shared" si="25"/>
        <v/>
      </c>
      <c r="M435" t="str">
        <f t="shared" si="26"/>
        <v/>
      </c>
    </row>
    <row r="436" spans="8:13" x14ac:dyDescent="0.3">
      <c r="H436" t="str">
        <f t="shared" si="27"/>
        <v/>
      </c>
      <c r="I436" t="str">
        <f>IFERROR(VLOOKUP(H436,List!A:B, 2, FALSE), "")</f>
        <v/>
      </c>
      <c r="K436" t="str">
        <f t="shared" si="24"/>
        <v/>
      </c>
      <c r="L436" t="str">
        <f t="shared" si="25"/>
        <v/>
      </c>
      <c r="M436" t="str">
        <f t="shared" si="26"/>
        <v/>
      </c>
    </row>
    <row r="437" spans="8:13" x14ac:dyDescent="0.3">
      <c r="H437" t="str">
        <f t="shared" si="27"/>
        <v/>
      </c>
      <c r="I437" t="str">
        <f>IFERROR(VLOOKUP(H437,List!A:B, 2, FALSE), "")</f>
        <v/>
      </c>
      <c r="K437" t="str">
        <f t="shared" si="24"/>
        <v/>
      </c>
      <c r="L437" t="str">
        <f t="shared" si="25"/>
        <v/>
      </c>
      <c r="M437" t="str">
        <f t="shared" si="26"/>
        <v/>
      </c>
    </row>
    <row r="438" spans="8:13" x14ac:dyDescent="0.3">
      <c r="H438" t="str">
        <f t="shared" si="27"/>
        <v/>
      </c>
      <c r="I438" t="str">
        <f>IFERROR(VLOOKUP(H438,List!A:B, 2, FALSE), "")</f>
        <v/>
      </c>
      <c r="K438" t="str">
        <f t="shared" si="24"/>
        <v/>
      </c>
      <c r="L438" t="str">
        <f t="shared" si="25"/>
        <v/>
      </c>
      <c r="M438" t="str">
        <f t="shared" si="26"/>
        <v/>
      </c>
    </row>
    <row r="439" spans="8:13" x14ac:dyDescent="0.3">
      <c r="H439" t="str">
        <f t="shared" si="27"/>
        <v/>
      </c>
      <c r="I439" t="str">
        <f>IFERROR(VLOOKUP(H439,List!A:B, 2, FALSE), "")</f>
        <v/>
      </c>
      <c r="K439" t="str">
        <f t="shared" si="24"/>
        <v/>
      </c>
      <c r="L439" t="str">
        <f t="shared" si="25"/>
        <v/>
      </c>
      <c r="M439" t="str">
        <f t="shared" si="26"/>
        <v/>
      </c>
    </row>
    <row r="440" spans="8:13" x14ac:dyDescent="0.3">
      <c r="H440" t="str">
        <f t="shared" si="27"/>
        <v/>
      </c>
      <c r="I440" t="str">
        <f>IFERROR(VLOOKUP(H440,List!A:B, 2, FALSE), "")</f>
        <v/>
      </c>
      <c r="K440" t="str">
        <f t="shared" si="24"/>
        <v/>
      </c>
      <c r="L440" t="str">
        <f t="shared" si="25"/>
        <v/>
      </c>
      <c r="M440" t="str">
        <f t="shared" si="26"/>
        <v/>
      </c>
    </row>
    <row r="441" spans="8:13" x14ac:dyDescent="0.3">
      <c r="H441" t="str">
        <f t="shared" si="27"/>
        <v/>
      </c>
      <c r="I441" t="str">
        <f>IFERROR(VLOOKUP(H441,List!A:B, 2, FALSE), "")</f>
        <v/>
      </c>
      <c r="K441" t="str">
        <f t="shared" si="24"/>
        <v/>
      </c>
      <c r="L441" t="str">
        <f t="shared" si="25"/>
        <v/>
      </c>
      <c r="M441" t="str">
        <f t="shared" si="26"/>
        <v/>
      </c>
    </row>
    <row r="442" spans="8:13" x14ac:dyDescent="0.3">
      <c r="H442" t="str">
        <f t="shared" si="27"/>
        <v/>
      </c>
      <c r="I442" t="str">
        <f>IFERROR(VLOOKUP(H442,List!A:B, 2, FALSE), "")</f>
        <v/>
      </c>
      <c r="K442" t="str">
        <f t="shared" si="24"/>
        <v/>
      </c>
      <c r="L442" t="str">
        <f t="shared" si="25"/>
        <v/>
      </c>
      <c r="M442" t="str">
        <f t="shared" si="26"/>
        <v/>
      </c>
    </row>
    <row r="443" spans="8:13" x14ac:dyDescent="0.3">
      <c r="H443" t="str">
        <f t="shared" si="27"/>
        <v/>
      </c>
      <c r="I443" t="str">
        <f>IFERROR(VLOOKUP(H443,List!A:B, 2, FALSE), "")</f>
        <v/>
      </c>
      <c r="K443" t="str">
        <f t="shared" si="24"/>
        <v/>
      </c>
      <c r="L443" t="str">
        <f t="shared" si="25"/>
        <v/>
      </c>
      <c r="M443" t="str">
        <f t="shared" si="26"/>
        <v/>
      </c>
    </row>
    <row r="444" spans="8:13" x14ac:dyDescent="0.3">
      <c r="H444" t="str">
        <f t="shared" si="27"/>
        <v/>
      </c>
      <c r="I444" t="str">
        <f>IFERROR(VLOOKUP(H444,List!A:B, 2, FALSE), "")</f>
        <v/>
      </c>
      <c r="K444" t="str">
        <f t="shared" si="24"/>
        <v/>
      </c>
      <c r="L444" t="str">
        <f t="shared" si="25"/>
        <v/>
      </c>
      <c r="M444" t="str">
        <f t="shared" si="26"/>
        <v/>
      </c>
    </row>
    <row r="445" spans="8:13" x14ac:dyDescent="0.3">
      <c r="H445" t="str">
        <f t="shared" si="27"/>
        <v/>
      </c>
      <c r="I445" t="str">
        <f>IFERROR(VLOOKUP(H445,List!A:B, 2, FALSE), "")</f>
        <v/>
      </c>
      <c r="K445" t="str">
        <f t="shared" si="24"/>
        <v/>
      </c>
      <c r="L445" t="str">
        <f t="shared" si="25"/>
        <v/>
      </c>
      <c r="M445" t="str">
        <f t="shared" si="26"/>
        <v/>
      </c>
    </row>
    <row r="446" spans="8:13" x14ac:dyDescent="0.3">
      <c r="H446" t="str">
        <f t="shared" si="27"/>
        <v/>
      </c>
      <c r="I446" t="str">
        <f>IFERROR(VLOOKUP(H446,List!A:B, 2, FALSE), "")</f>
        <v/>
      </c>
      <c r="K446" t="str">
        <f t="shared" si="24"/>
        <v/>
      </c>
      <c r="L446" t="str">
        <f t="shared" si="25"/>
        <v/>
      </c>
      <c r="M446" t="str">
        <f t="shared" si="26"/>
        <v/>
      </c>
    </row>
    <row r="447" spans="8:13" x14ac:dyDescent="0.3">
      <c r="H447" t="str">
        <f t="shared" si="27"/>
        <v/>
      </c>
      <c r="I447" t="str">
        <f>IFERROR(VLOOKUP(H447,List!A:B, 2, FALSE), "")</f>
        <v/>
      </c>
      <c r="K447" t="str">
        <f t="shared" si="24"/>
        <v/>
      </c>
      <c r="L447" t="str">
        <f t="shared" si="25"/>
        <v/>
      </c>
      <c r="M447" t="str">
        <f t="shared" si="26"/>
        <v/>
      </c>
    </row>
    <row r="448" spans="8:13" x14ac:dyDescent="0.3">
      <c r="H448" t="str">
        <f t="shared" si="27"/>
        <v/>
      </c>
      <c r="I448" t="str">
        <f>IFERROR(VLOOKUP(H448,List!A:B, 2, FALSE), "")</f>
        <v/>
      </c>
      <c r="K448" t="str">
        <f t="shared" si="24"/>
        <v/>
      </c>
      <c r="L448" t="str">
        <f t="shared" si="25"/>
        <v/>
      </c>
      <c r="M448" t="str">
        <f t="shared" si="26"/>
        <v/>
      </c>
    </row>
    <row r="449" spans="8:13" x14ac:dyDescent="0.3">
      <c r="H449" t="str">
        <f t="shared" si="27"/>
        <v/>
      </c>
      <c r="I449" t="str">
        <f>IFERROR(VLOOKUP(H449,List!A:B, 2, FALSE), "")</f>
        <v/>
      </c>
      <c r="K449" t="str">
        <f t="shared" si="24"/>
        <v/>
      </c>
      <c r="L449" t="str">
        <f t="shared" si="25"/>
        <v/>
      </c>
      <c r="M449" t="str">
        <f t="shared" si="26"/>
        <v/>
      </c>
    </row>
    <row r="450" spans="8:13" x14ac:dyDescent="0.3">
      <c r="H450" t="str">
        <f t="shared" si="27"/>
        <v/>
      </c>
      <c r="I450" t="str">
        <f>IFERROR(VLOOKUP(H450,List!A:B, 2, FALSE), "")</f>
        <v/>
      </c>
      <c r="K450" t="str">
        <f t="shared" si="24"/>
        <v/>
      </c>
      <c r="L450" t="str">
        <f t="shared" si="25"/>
        <v/>
      </c>
      <c r="M450" t="str">
        <f t="shared" si="26"/>
        <v/>
      </c>
    </row>
    <row r="451" spans="8:13" x14ac:dyDescent="0.3">
      <c r="H451" t="str">
        <f t="shared" si="27"/>
        <v/>
      </c>
      <c r="I451" t="str">
        <f>IFERROR(VLOOKUP(H451,List!A:B, 2, FALSE), "")</f>
        <v/>
      </c>
      <c r="K451" t="str">
        <f t="shared" ref="K451:K514" si="28">SUBSTITUTE(SUBSTITUTE(SUBSTITUTE(SUBSTITUTE(C451,"-",""),"+",""),"p:","")," ","")</f>
        <v/>
      </c>
      <c r="L451" t="str">
        <f t="shared" ref="L451:L514" si="29">K451</f>
        <v/>
      </c>
      <c r="M451" t="str">
        <f t="shared" ref="M451:M514" si="30">IF(LEFT(L451, 2) = "91", RIGHT(L451, LEN(L451) - 2),
 IF(LEFT(L451, 3) = "971", RIGHT(L451, LEN(L451) - 3),
  IF(LEFT(L451, 2) = "92", RIGHT(L451, LEN(L451) - 2),
   IF(LEFT(L451, 3) = "974", RIGHT(L451, LEN(L451) - 3),
    IF(LEFT(L451, 2) = "60", RIGHT(L451, LEN(L451) - 2),
     IF(LEFT(L451, 2) = "65", RIGHT(L451, LEN(L451) - 2),
      IF(LEFT(L451, 3) = "966", RIGHT(L451, LEN(L451) - 3),
       IF(LEFT(L451, 3) = "967", RIGHT(L451, LEN(L451) - 3),
        IF(LEFT(L451, 3) = "968", RIGHT(L451, LEN(L451) - 3),
         IF(LEFT(L451, 3) = "249", RIGHT(L451, LEN(L451) - 3),
          IF(LEFT(L451, 3) = "213", RIGHT(L451, LEN(L451) - 3),
           IF(LEFT(L451, 3) = "965", RIGHT(L451, LEN(L451) - 3),
            IF(LEFT(L451, 3) = "1", RIGHT(L451, LEN(L451) - 1),
             IF(LEFT(L451, 3) = "973", RIGHT(L451, LEN(L451) - 3),
              IF(LEFT(L451, 3) = "233", RIGHT(L451, LEN(L451) - 3),
               IF(LEFT(L451, 3) = "977", RIGHT(L451, LEN(L451) - 3),
                IF(LEFT(L451, 2) = "20", RIGHT(L451, LEN(L451) - 2),
                 L451
                )
               )
              )
             )
            )
           )
          )
         )
        )
       )
      )
     )
    )
   )
  )
 )
)</f>
        <v/>
      </c>
    </row>
    <row r="452" spans="8:13" x14ac:dyDescent="0.3">
      <c r="H452" t="str">
        <f t="shared" si="27"/>
        <v/>
      </c>
      <c r="I452" t="str">
        <f>IFERROR(VLOOKUP(H452,List!A:B, 2, FALSE), "")</f>
        <v/>
      </c>
      <c r="K452" t="str">
        <f t="shared" si="28"/>
        <v/>
      </c>
      <c r="L452" t="str">
        <f t="shared" si="29"/>
        <v/>
      </c>
      <c r="M452" t="str">
        <f t="shared" si="30"/>
        <v/>
      </c>
    </row>
    <row r="453" spans="8:13" x14ac:dyDescent="0.3">
      <c r="H453" t="str">
        <f t="shared" si="27"/>
        <v/>
      </c>
      <c r="I453" t="str">
        <f>IFERROR(VLOOKUP(H453,List!A:B, 2, FALSE), "")</f>
        <v/>
      </c>
      <c r="K453" t="str">
        <f t="shared" si="28"/>
        <v/>
      </c>
      <c r="L453" t="str">
        <f t="shared" si="29"/>
        <v/>
      </c>
      <c r="M453" t="str">
        <f t="shared" si="30"/>
        <v/>
      </c>
    </row>
    <row r="454" spans="8:13" x14ac:dyDescent="0.3">
      <c r="H454" t="str">
        <f t="shared" si="27"/>
        <v/>
      </c>
      <c r="I454" t="str">
        <f>IFERROR(VLOOKUP(H454,List!A:B, 2, FALSE), "")</f>
        <v/>
      </c>
      <c r="K454" t="str">
        <f t="shared" si="28"/>
        <v/>
      </c>
      <c r="L454" t="str">
        <f t="shared" si="29"/>
        <v/>
      </c>
      <c r="M454" t="str">
        <f t="shared" si="30"/>
        <v/>
      </c>
    </row>
    <row r="455" spans="8:13" x14ac:dyDescent="0.3">
      <c r="H455" t="str">
        <f t="shared" ref="H455:H518" si="31">IF(N455=0,"","")</f>
        <v/>
      </c>
      <c r="I455" t="str">
        <f>IFERROR(VLOOKUP(H455,List!A:B, 2, FALSE), "")</f>
        <v/>
      </c>
      <c r="K455" t="str">
        <f t="shared" si="28"/>
        <v/>
      </c>
      <c r="L455" t="str">
        <f t="shared" si="29"/>
        <v/>
      </c>
      <c r="M455" t="str">
        <f t="shared" si="30"/>
        <v/>
      </c>
    </row>
    <row r="456" spans="8:13" x14ac:dyDescent="0.3">
      <c r="H456" t="str">
        <f t="shared" si="31"/>
        <v/>
      </c>
      <c r="I456" t="str">
        <f>IFERROR(VLOOKUP(H456,List!A:B, 2, FALSE), "")</f>
        <v/>
      </c>
      <c r="K456" t="str">
        <f t="shared" si="28"/>
        <v/>
      </c>
      <c r="L456" t="str">
        <f t="shared" si="29"/>
        <v/>
      </c>
      <c r="M456" t="str">
        <f t="shared" si="30"/>
        <v/>
      </c>
    </row>
    <row r="457" spans="8:13" x14ac:dyDescent="0.3">
      <c r="H457" t="str">
        <f t="shared" si="31"/>
        <v/>
      </c>
      <c r="I457" t="str">
        <f>IFERROR(VLOOKUP(H457,List!A:B, 2, FALSE), "")</f>
        <v/>
      </c>
      <c r="K457" t="str">
        <f t="shared" si="28"/>
        <v/>
      </c>
      <c r="L457" t="str">
        <f t="shared" si="29"/>
        <v/>
      </c>
      <c r="M457" t="str">
        <f t="shared" si="30"/>
        <v/>
      </c>
    </row>
    <row r="458" spans="8:13" x14ac:dyDescent="0.3">
      <c r="H458" t="str">
        <f t="shared" si="31"/>
        <v/>
      </c>
      <c r="I458" t="str">
        <f>IFERROR(VLOOKUP(H458,List!A:B, 2, FALSE), "")</f>
        <v/>
      </c>
      <c r="K458" t="str">
        <f t="shared" si="28"/>
        <v/>
      </c>
      <c r="L458" t="str">
        <f t="shared" si="29"/>
        <v/>
      </c>
      <c r="M458" t="str">
        <f t="shared" si="30"/>
        <v/>
      </c>
    </row>
    <row r="459" spans="8:13" x14ac:dyDescent="0.3">
      <c r="H459" t="str">
        <f t="shared" si="31"/>
        <v/>
      </c>
      <c r="I459" t="str">
        <f>IFERROR(VLOOKUP(H459,List!A:B, 2, FALSE), "")</f>
        <v/>
      </c>
      <c r="K459" t="str">
        <f t="shared" si="28"/>
        <v/>
      </c>
      <c r="L459" t="str">
        <f t="shared" si="29"/>
        <v/>
      </c>
      <c r="M459" t="str">
        <f t="shared" si="30"/>
        <v/>
      </c>
    </row>
    <row r="460" spans="8:13" x14ac:dyDescent="0.3">
      <c r="H460" t="str">
        <f t="shared" si="31"/>
        <v/>
      </c>
      <c r="I460" t="str">
        <f>IFERROR(VLOOKUP(H460,List!A:B, 2, FALSE), "")</f>
        <v/>
      </c>
      <c r="K460" t="str">
        <f t="shared" si="28"/>
        <v/>
      </c>
      <c r="L460" t="str">
        <f t="shared" si="29"/>
        <v/>
      </c>
      <c r="M460" t="str">
        <f t="shared" si="30"/>
        <v/>
      </c>
    </row>
    <row r="461" spans="8:13" x14ac:dyDescent="0.3">
      <c r="H461" t="str">
        <f t="shared" si="31"/>
        <v/>
      </c>
      <c r="I461" t="str">
        <f>IFERROR(VLOOKUP(H461,List!A:B, 2, FALSE), "")</f>
        <v/>
      </c>
      <c r="K461" t="str">
        <f t="shared" si="28"/>
        <v/>
      </c>
      <c r="L461" t="str">
        <f t="shared" si="29"/>
        <v/>
      </c>
      <c r="M461" t="str">
        <f t="shared" si="30"/>
        <v/>
      </c>
    </row>
    <row r="462" spans="8:13" x14ac:dyDescent="0.3">
      <c r="H462" t="str">
        <f t="shared" si="31"/>
        <v/>
      </c>
      <c r="I462" t="str">
        <f>IFERROR(VLOOKUP(H462,List!A:B, 2, FALSE), "")</f>
        <v/>
      </c>
      <c r="K462" t="str">
        <f t="shared" si="28"/>
        <v/>
      </c>
      <c r="L462" t="str">
        <f t="shared" si="29"/>
        <v/>
      </c>
      <c r="M462" t="str">
        <f t="shared" si="30"/>
        <v/>
      </c>
    </row>
    <row r="463" spans="8:13" x14ac:dyDescent="0.3">
      <c r="H463" t="str">
        <f t="shared" si="31"/>
        <v/>
      </c>
      <c r="I463" t="str">
        <f>IFERROR(VLOOKUP(H463,List!A:B, 2, FALSE), "")</f>
        <v/>
      </c>
      <c r="K463" t="str">
        <f t="shared" si="28"/>
        <v/>
      </c>
      <c r="L463" t="str">
        <f t="shared" si="29"/>
        <v/>
      </c>
      <c r="M463" t="str">
        <f t="shared" si="30"/>
        <v/>
      </c>
    </row>
    <row r="464" spans="8:13" x14ac:dyDescent="0.3">
      <c r="H464" t="str">
        <f t="shared" si="31"/>
        <v/>
      </c>
      <c r="I464" t="str">
        <f>IFERROR(VLOOKUP(H464,List!A:B, 2, FALSE), "")</f>
        <v/>
      </c>
      <c r="K464" t="str">
        <f t="shared" si="28"/>
        <v/>
      </c>
      <c r="L464" t="str">
        <f t="shared" si="29"/>
        <v/>
      </c>
      <c r="M464" t="str">
        <f t="shared" si="30"/>
        <v/>
      </c>
    </row>
    <row r="465" spans="8:13" x14ac:dyDescent="0.3">
      <c r="H465" t="str">
        <f t="shared" si="31"/>
        <v/>
      </c>
      <c r="I465" t="str">
        <f>IFERROR(VLOOKUP(H465,List!A:B, 2, FALSE), "")</f>
        <v/>
      </c>
      <c r="K465" t="str">
        <f t="shared" si="28"/>
        <v/>
      </c>
      <c r="L465" t="str">
        <f t="shared" si="29"/>
        <v/>
      </c>
      <c r="M465" t="str">
        <f t="shared" si="30"/>
        <v/>
      </c>
    </row>
    <row r="466" spans="8:13" x14ac:dyDescent="0.3">
      <c r="H466" t="str">
        <f t="shared" si="31"/>
        <v/>
      </c>
      <c r="I466" t="str">
        <f>IFERROR(VLOOKUP(H466,List!A:B, 2, FALSE), "")</f>
        <v/>
      </c>
      <c r="K466" t="str">
        <f t="shared" si="28"/>
        <v/>
      </c>
      <c r="L466" t="str">
        <f t="shared" si="29"/>
        <v/>
      </c>
      <c r="M466" t="str">
        <f t="shared" si="30"/>
        <v/>
      </c>
    </row>
    <row r="467" spans="8:13" x14ac:dyDescent="0.3">
      <c r="H467" t="str">
        <f t="shared" si="31"/>
        <v/>
      </c>
      <c r="I467" t="str">
        <f>IFERROR(VLOOKUP(H467,List!A:B, 2, FALSE), "")</f>
        <v/>
      </c>
      <c r="K467" t="str">
        <f t="shared" si="28"/>
        <v/>
      </c>
      <c r="L467" t="str">
        <f t="shared" si="29"/>
        <v/>
      </c>
      <c r="M467" t="str">
        <f t="shared" si="30"/>
        <v/>
      </c>
    </row>
    <row r="468" spans="8:13" x14ac:dyDescent="0.3">
      <c r="H468" t="str">
        <f t="shared" si="31"/>
        <v/>
      </c>
      <c r="I468" t="str">
        <f>IFERROR(VLOOKUP(H468,List!A:B, 2, FALSE), "")</f>
        <v/>
      </c>
      <c r="K468" t="str">
        <f t="shared" si="28"/>
        <v/>
      </c>
      <c r="L468" t="str">
        <f t="shared" si="29"/>
        <v/>
      </c>
      <c r="M468" t="str">
        <f t="shared" si="30"/>
        <v/>
      </c>
    </row>
    <row r="469" spans="8:13" x14ac:dyDescent="0.3">
      <c r="H469" t="str">
        <f t="shared" si="31"/>
        <v/>
      </c>
      <c r="I469" t="str">
        <f>IFERROR(VLOOKUP(H469,List!A:B, 2, FALSE), "")</f>
        <v/>
      </c>
      <c r="K469" t="str">
        <f t="shared" si="28"/>
        <v/>
      </c>
      <c r="L469" t="str">
        <f t="shared" si="29"/>
        <v/>
      </c>
      <c r="M469" t="str">
        <f t="shared" si="30"/>
        <v/>
      </c>
    </row>
    <row r="470" spans="8:13" x14ac:dyDescent="0.3">
      <c r="H470" t="str">
        <f t="shared" si="31"/>
        <v/>
      </c>
      <c r="I470" t="str">
        <f>IFERROR(VLOOKUP(H470,List!A:B, 2, FALSE), "")</f>
        <v/>
      </c>
      <c r="K470" t="str">
        <f t="shared" si="28"/>
        <v/>
      </c>
      <c r="L470" t="str">
        <f t="shared" si="29"/>
        <v/>
      </c>
      <c r="M470" t="str">
        <f t="shared" si="30"/>
        <v/>
      </c>
    </row>
    <row r="471" spans="8:13" x14ac:dyDescent="0.3">
      <c r="H471" t="str">
        <f t="shared" si="31"/>
        <v/>
      </c>
      <c r="I471" t="str">
        <f>IFERROR(VLOOKUP(H471,List!A:B, 2, FALSE), "")</f>
        <v/>
      </c>
      <c r="K471" t="str">
        <f t="shared" si="28"/>
        <v/>
      </c>
      <c r="L471" t="str">
        <f t="shared" si="29"/>
        <v/>
      </c>
      <c r="M471" t="str">
        <f t="shared" si="30"/>
        <v/>
      </c>
    </row>
    <row r="472" spans="8:13" x14ac:dyDescent="0.3">
      <c r="H472" t="str">
        <f t="shared" si="31"/>
        <v/>
      </c>
      <c r="I472" t="str">
        <f>IFERROR(VLOOKUP(H472,List!A:B, 2, FALSE), "")</f>
        <v/>
      </c>
      <c r="K472" t="str">
        <f t="shared" si="28"/>
        <v/>
      </c>
      <c r="L472" t="str">
        <f t="shared" si="29"/>
        <v/>
      </c>
      <c r="M472" t="str">
        <f t="shared" si="30"/>
        <v/>
      </c>
    </row>
    <row r="473" spans="8:13" x14ac:dyDescent="0.3">
      <c r="H473" t="str">
        <f t="shared" si="31"/>
        <v/>
      </c>
      <c r="I473" t="str">
        <f>IFERROR(VLOOKUP(H473,List!A:B, 2, FALSE), "")</f>
        <v/>
      </c>
      <c r="K473" t="str">
        <f t="shared" si="28"/>
        <v/>
      </c>
      <c r="L473" t="str">
        <f t="shared" si="29"/>
        <v/>
      </c>
      <c r="M473" t="str">
        <f t="shared" si="30"/>
        <v/>
      </c>
    </row>
    <row r="474" spans="8:13" x14ac:dyDescent="0.3">
      <c r="H474" t="str">
        <f t="shared" si="31"/>
        <v/>
      </c>
      <c r="I474" t="str">
        <f>IFERROR(VLOOKUP(H474,List!A:B, 2, FALSE), "")</f>
        <v/>
      </c>
      <c r="K474" t="str">
        <f t="shared" si="28"/>
        <v/>
      </c>
      <c r="L474" t="str">
        <f t="shared" si="29"/>
        <v/>
      </c>
      <c r="M474" t="str">
        <f t="shared" si="30"/>
        <v/>
      </c>
    </row>
    <row r="475" spans="8:13" x14ac:dyDescent="0.3">
      <c r="H475" t="str">
        <f t="shared" si="31"/>
        <v/>
      </c>
      <c r="I475" t="str">
        <f>IFERROR(VLOOKUP(H475,List!A:B, 2, FALSE), "")</f>
        <v/>
      </c>
      <c r="K475" t="str">
        <f t="shared" si="28"/>
        <v/>
      </c>
      <c r="L475" t="str">
        <f t="shared" si="29"/>
        <v/>
      </c>
      <c r="M475" t="str">
        <f t="shared" si="30"/>
        <v/>
      </c>
    </row>
    <row r="476" spans="8:13" x14ac:dyDescent="0.3">
      <c r="H476" t="str">
        <f t="shared" si="31"/>
        <v/>
      </c>
      <c r="I476" t="str">
        <f>IFERROR(VLOOKUP(H476,List!A:B, 2, FALSE), "")</f>
        <v/>
      </c>
      <c r="K476" t="str">
        <f t="shared" si="28"/>
        <v/>
      </c>
      <c r="L476" t="str">
        <f t="shared" si="29"/>
        <v/>
      </c>
      <c r="M476" t="str">
        <f t="shared" si="30"/>
        <v/>
      </c>
    </row>
    <row r="477" spans="8:13" x14ac:dyDescent="0.3">
      <c r="H477" t="str">
        <f t="shared" si="31"/>
        <v/>
      </c>
      <c r="I477" t="str">
        <f>IFERROR(VLOOKUP(H477,List!A:B, 2, FALSE), "")</f>
        <v/>
      </c>
      <c r="K477" t="str">
        <f t="shared" si="28"/>
        <v/>
      </c>
      <c r="L477" t="str">
        <f t="shared" si="29"/>
        <v/>
      </c>
      <c r="M477" t="str">
        <f t="shared" si="30"/>
        <v/>
      </c>
    </row>
    <row r="478" spans="8:13" x14ac:dyDescent="0.3">
      <c r="H478" t="str">
        <f t="shared" si="31"/>
        <v/>
      </c>
      <c r="I478" t="str">
        <f>IFERROR(VLOOKUP(H478,List!A:B, 2, FALSE), "")</f>
        <v/>
      </c>
      <c r="K478" t="str">
        <f t="shared" si="28"/>
        <v/>
      </c>
      <c r="L478" t="str">
        <f t="shared" si="29"/>
        <v/>
      </c>
      <c r="M478" t="str">
        <f t="shared" si="30"/>
        <v/>
      </c>
    </row>
    <row r="479" spans="8:13" x14ac:dyDescent="0.3">
      <c r="H479" t="str">
        <f t="shared" si="31"/>
        <v/>
      </c>
      <c r="I479" t="str">
        <f>IFERROR(VLOOKUP(H479,List!A:B, 2, FALSE), "")</f>
        <v/>
      </c>
      <c r="K479" t="str">
        <f t="shared" si="28"/>
        <v/>
      </c>
      <c r="L479" t="str">
        <f t="shared" si="29"/>
        <v/>
      </c>
      <c r="M479" t="str">
        <f t="shared" si="30"/>
        <v/>
      </c>
    </row>
    <row r="480" spans="8:13" x14ac:dyDescent="0.3">
      <c r="H480" t="str">
        <f t="shared" si="31"/>
        <v/>
      </c>
      <c r="I480" t="str">
        <f>IFERROR(VLOOKUP(H480,List!A:B, 2, FALSE), "")</f>
        <v/>
      </c>
      <c r="K480" t="str">
        <f t="shared" si="28"/>
        <v/>
      </c>
      <c r="L480" t="str">
        <f t="shared" si="29"/>
        <v/>
      </c>
      <c r="M480" t="str">
        <f t="shared" si="30"/>
        <v/>
      </c>
    </row>
    <row r="481" spans="8:13" x14ac:dyDescent="0.3">
      <c r="H481" t="str">
        <f t="shared" si="31"/>
        <v/>
      </c>
      <c r="I481" t="str">
        <f>IFERROR(VLOOKUP(H481,List!A:B, 2, FALSE), "")</f>
        <v/>
      </c>
      <c r="K481" t="str">
        <f t="shared" si="28"/>
        <v/>
      </c>
      <c r="L481" t="str">
        <f t="shared" si="29"/>
        <v/>
      </c>
      <c r="M481" t="str">
        <f t="shared" si="30"/>
        <v/>
      </c>
    </row>
    <row r="482" spans="8:13" x14ac:dyDescent="0.3">
      <c r="H482" t="str">
        <f t="shared" si="31"/>
        <v/>
      </c>
      <c r="I482" t="str">
        <f>IFERROR(VLOOKUP(H482,List!A:B, 2, FALSE), "")</f>
        <v/>
      </c>
      <c r="K482" t="str">
        <f t="shared" si="28"/>
        <v/>
      </c>
      <c r="L482" t="str">
        <f t="shared" si="29"/>
        <v/>
      </c>
      <c r="M482" t="str">
        <f t="shared" si="30"/>
        <v/>
      </c>
    </row>
    <row r="483" spans="8:13" x14ac:dyDescent="0.3">
      <c r="H483" t="str">
        <f t="shared" si="31"/>
        <v/>
      </c>
      <c r="I483" t="str">
        <f>IFERROR(VLOOKUP(H483,List!A:B, 2, FALSE), "")</f>
        <v/>
      </c>
      <c r="K483" t="str">
        <f t="shared" si="28"/>
        <v/>
      </c>
      <c r="L483" t="str">
        <f t="shared" si="29"/>
        <v/>
      </c>
      <c r="M483" t="str">
        <f t="shared" si="30"/>
        <v/>
      </c>
    </row>
    <row r="484" spans="8:13" x14ac:dyDescent="0.3">
      <c r="H484" t="str">
        <f t="shared" si="31"/>
        <v/>
      </c>
      <c r="I484" t="str">
        <f>IFERROR(VLOOKUP(H484,List!A:B, 2, FALSE), "")</f>
        <v/>
      </c>
      <c r="K484" t="str">
        <f t="shared" si="28"/>
        <v/>
      </c>
      <c r="L484" t="str">
        <f t="shared" si="29"/>
        <v/>
      </c>
      <c r="M484" t="str">
        <f t="shared" si="30"/>
        <v/>
      </c>
    </row>
    <row r="485" spans="8:13" x14ac:dyDescent="0.3">
      <c r="H485" t="str">
        <f t="shared" si="31"/>
        <v/>
      </c>
      <c r="I485" t="str">
        <f>IFERROR(VLOOKUP(H485,List!A:B, 2, FALSE), "")</f>
        <v/>
      </c>
      <c r="K485" t="str">
        <f t="shared" si="28"/>
        <v/>
      </c>
      <c r="L485" t="str">
        <f t="shared" si="29"/>
        <v/>
      </c>
      <c r="M485" t="str">
        <f t="shared" si="30"/>
        <v/>
      </c>
    </row>
    <row r="486" spans="8:13" x14ac:dyDescent="0.3">
      <c r="H486" t="str">
        <f t="shared" si="31"/>
        <v/>
      </c>
      <c r="I486" t="str">
        <f>IFERROR(VLOOKUP(H486,List!A:B, 2, FALSE), "")</f>
        <v/>
      </c>
      <c r="K486" t="str">
        <f t="shared" si="28"/>
        <v/>
      </c>
      <c r="L486" t="str">
        <f t="shared" si="29"/>
        <v/>
      </c>
      <c r="M486" t="str">
        <f t="shared" si="30"/>
        <v/>
      </c>
    </row>
    <row r="487" spans="8:13" x14ac:dyDescent="0.3">
      <c r="H487" t="str">
        <f t="shared" si="31"/>
        <v/>
      </c>
      <c r="I487" t="str">
        <f>IFERROR(VLOOKUP(H487,List!A:B, 2, FALSE), "")</f>
        <v/>
      </c>
      <c r="K487" t="str">
        <f t="shared" si="28"/>
        <v/>
      </c>
      <c r="L487" t="str">
        <f t="shared" si="29"/>
        <v/>
      </c>
      <c r="M487" t="str">
        <f t="shared" si="30"/>
        <v/>
      </c>
    </row>
    <row r="488" spans="8:13" x14ac:dyDescent="0.3">
      <c r="H488" t="str">
        <f t="shared" si="31"/>
        <v/>
      </c>
      <c r="I488" t="str">
        <f>IFERROR(VLOOKUP(H488,List!A:B, 2, FALSE), "")</f>
        <v/>
      </c>
      <c r="K488" t="str">
        <f t="shared" si="28"/>
        <v/>
      </c>
      <c r="L488" t="str">
        <f t="shared" si="29"/>
        <v/>
      </c>
      <c r="M488" t="str">
        <f t="shared" si="30"/>
        <v/>
      </c>
    </row>
    <row r="489" spans="8:13" x14ac:dyDescent="0.3">
      <c r="H489" t="str">
        <f t="shared" si="31"/>
        <v/>
      </c>
      <c r="I489" t="str">
        <f>IFERROR(VLOOKUP(H489,List!A:B, 2, FALSE), "")</f>
        <v/>
      </c>
      <c r="K489" t="str">
        <f t="shared" si="28"/>
        <v/>
      </c>
      <c r="L489" t="str">
        <f t="shared" si="29"/>
        <v/>
      </c>
      <c r="M489" t="str">
        <f t="shared" si="30"/>
        <v/>
      </c>
    </row>
    <row r="490" spans="8:13" x14ac:dyDescent="0.3">
      <c r="H490" t="str">
        <f t="shared" si="31"/>
        <v/>
      </c>
      <c r="I490" t="str">
        <f>IFERROR(VLOOKUP(H490,List!A:B, 2, FALSE), "")</f>
        <v/>
      </c>
      <c r="K490" t="str">
        <f t="shared" si="28"/>
        <v/>
      </c>
      <c r="L490" t="str">
        <f t="shared" si="29"/>
        <v/>
      </c>
      <c r="M490" t="str">
        <f t="shared" si="30"/>
        <v/>
      </c>
    </row>
    <row r="491" spans="8:13" x14ac:dyDescent="0.3">
      <c r="H491" t="str">
        <f t="shared" si="31"/>
        <v/>
      </c>
      <c r="I491" t="str">
        <f>IFERROR(VLOOKUP(H491,List!A:B, 2, FALSE), "")</f>
        <v/>
      </c>
      <c r="K491" t="str">
        <f t="shared" si="28"/>
        <v/>
      </c>
      <c r="L491" t="str">
        <f t="shared" si="29"/>
        <v/>
      </c>
      <c r="M491" t="str">
        <f t="shared" si="30"/>
        <v/>
      </c>
    </row>
    <row r="492" spans="8:13" x14ac:dyDescent="0.3">
      <c r="H492" t="str">
        <f t="shared" si="31"/>
        <v/>
      </c>
      <c r="I492" t="str">
        <f>IFERROR(VLOOKUP(H492,List!A:B, 2, FALSE), "")</f>
        <v/>
      </c>
      <c r="K492" t="str">
        <f t="shared" si="28"/>
        <v/>
      </c>
      <c r="L492" t="str">
        <f t="shared" si="29"/>
        <v/>
      </c>
      <c r="M492" t="str">
        <f t="shared" si="30"/>
        <v/>
      </c>
    </row>
    <row r="493" spans="8:13" x14ac:dyDescent="0.3">
      <c r="H493" t="str">
        <f t="shared" si="31"/>
        <v/>
      </c>
      <c r="I493" t="str">
        <f>IFERROR(VLOOKUP(H493,List!A:B, 2, FALSE), "")</f>
        <v/>
      </c>
      <c r="K493" t="str">
        <f t="shared" si="28"/>
        <v/>
      </c>
      <c r="L493" t="str">
        <f t="shared" si="29"/>
        <v/>
      </c>
      <c r="M493" t="str">
        <f t="shared" si="30"/>
        <v/>
      </c>
    </row>
    <row r="494" spans="8:13" x14ac:dyDescent="0.3">
      <c r="H494" t="str">
        <f t="shared" si="31"/>
        <v/>
      </c>
      <c r="I494" t="str">
        <f>IFERROR(VLOOKUP(H494,List!A:B, 2, FALSE), "")</f>
        <v/>
      </c>
      <c r="K494" t="str">
        <f t="shared" si="28"/>
        <v/>
      </c>
      <c r="L494" t="str">
        <f t="shared" si="29"/>
        <v/>
      </c>
      <c r="M494" t="str">
        <f t="shared" si="30"/>
        <v/>
      </c>
    </row>
    <row r="495" spans="8:13" x14ac:dyDescent="0.3">
      <c r="H495" t="str">
        <f t="shared" si="31"/>
        <v/>
      </c>
      <c r="I495" t="str">
        <f>IFERROR(VLOOKUP(H495,List!A:B, 2, FALSE), "")</f>
        <v/>
      </c>
      <c r="K495" t="str">
        <f t="shared" si="28"/>
        <v/>
      </c>
      <c r="L495" t="str">
        <f t="shared" si="29"/>
        <v/>
      </c>
      <c r="M495" t="str">
        <f t="shared" si="30"/>
        <v/>
      </c>
    </row>
    <row r="496" spans="8:13" x14ac:dyDescent="0.3">
      <c r="H496" t="str">
        <f t="shared" si="31"/>
        <v/>
      </c>
      <c r="I496" t="str">
        <f>IFERROR(VLOOKUP(H496,List!A:B, 2, FALSE), "")</f>
        <v/>
      </c>
      <c r="K496" t="str">
        <f t="shared" si="28"/>
        <v/>
      </c>
      <c r="L496" t="str">
        <f t="shared" si="29"/>
        <v/>
      </c>
      <c r="M496" t="str">
        <f t="shared" si="30"/>
        <v/>
      </c>
    </row>
    <row r="497" spans="8:13" x14ac:dyDescent="0.3">
      <c r="H497" t="str">
        <f t="shared" si="31"/>
        <v/>
      </c>
      <c r="I497" t="str">
        <f>IFERROR(VLOOKUP(H497,List!A:B, 2, FALSE), "")</f>
        <v/>
      </c>
      <c r="K497" t="str">
        <f t="shared" si="28"/>
        <v/>
      </c>
      <c r="L497" t="str">
        <f t="shared" si="29"/>
        <v/>
      </c>
      <c r="M497" t="str">
        <f t="shared" si="30"/>
        <v/>
      </c>
    </row>
    <row r="498" spans="8:13" x14ac:dyDescent="0.3">
      <c r="H498" t="str">
        <f t="shared" si="31"/>
        <v/>
      </c>
      <c r="I498" t="str">
        <f>IFERROR(VLOOKUP(H498,List!A:B, 2, FALSE), "")</f>
        <v/>
      </c>
      <c r="K498" t="str">
        <f t="shared" si="28"/>
        <v/>
      </c>
      <c r="L498" t="str">
        <f t="shared" si="29"/>
        <v/>
      </c>
      <c r="M498" t="str">
        <f t="shared" si="30"/>
        <v/>
      </c>
    </row>
    <row r="499" spans="8:13" x14ac:dyDescent="0.3">
      <c r="H499" t="str">
        <f t="shared" si="31"/>
        <v/>
      </c>
      <c r="I499" t="str">
        <f>IFERROR(VLOOKUP(H499,List!A:B, 2, FALSE), "")</f>
        <v/>
      </c>
      <c r="K499" t="str">
        <f t="shared" si="28"/>
        <v/>
      </c>
      <c r="L499" t="str">
        <f t="shared" si="29"/>
        <v/>
      </c>
      <c r="M499" t="str">
        <f t="shared" si="30"/>
        <v/>
      </c>
    </row>
    <row r="500" spans="8:13" x14ac:dyDescent="0.3">
      <c r="H500" t="str">
        <f t="shared" si="31"/>
        <v/>
      </c>
      <c r="I500" t="str">
        <f>IFERROR(VLOOKUP(H500,List!A:B, 2, FALSE), "")</f>
        <v/>
      </c>
      <c r="K500" t="str">
        <f t="shared" si="28"/>
        <v/>
      </c>
      <c r="L500" t="str">
        <f t="shared" si="29"/>
        <v/>
      </c>
      <c r="M500" t="str">
        <f t="shared" si="30"/>
        <v/>
      </c>
    </row>
    <row r="501" spans="8:13" x14ac:dyDescent="0.3">
      <c r="H501" t="str">
        <f t="shared" si="31"/>
        <v/>
      </c>
      <c r="I501" t="str">
        <f>IFERROR(VLOOKUP(H501,List!A:B, 2, FALSE), "")</f>
        <v/>
      </c>
      <c r="K501" t="str">
        <f t="shared" si="28"/>
        <v/>
      </c>
      <c r="L501" t="str">
        <f t="shared" si="29"/>
        <v/>
      </c>
      <c r="M501" t="str">
        <f t="shared" si="30"/>
        <v/>
      </c>
    </row>
    <row r="502" spans="8:13" x14ac:dyDescent="0.3">
      <c r="H502" t="str">
        <f t="shared" si="31"/>
        <v/>
      </c>
      <c r="I502" t="str">
        <f>IFERROR(VLOOKUP(H502,List!A:B, 2, FALSE), "")</f>
        <v/>
      </c>
      <c r="K502" t="str">
        <f t="shared" si="28"/>
        <v/>
      </c>
      <c r="L502" t="str">
        <f t="shared" si="29"/>
        <v/>
      </c>
      <c r="M502" t="str">
        <f t="shared" si="30"/>
        <v/>
      </c>
    </row>
    <row r="503" spans="8:13" x14ac:dyDescent="0.3">
      <c r="H503" t="str">
        <f t="shared" si="31"/>
        <v/>
      </c>
      <c r="I503" t="str">
        <f>IFERROR(VLOOKUP(H503,List!A:B, 2, FALSE), "")</f>
        <v/>
      </c>
      <c r="K503" t="str">
        <f t="shared" si="28"/>
        <v/>
      </c>
      <c r="L503" t="str">
        <f t="shared" si="29"/>
        <v/>
      </c>
      <c r="M503" t="str">
        <f t="shared" si="30"/>
        <v/>
      </c>
    </row>
    <row r="504" spans="8:13" x14ac:dyDescent="0.3">
      <c r="H504" t="str">
        <f t="shared" si="31"/>
        <v/>
      </c>
      <c r="I504" t="str">
        <f>IFERROR(VLOOKUP(H504,List!A:B, 2, FALSE), "")</f>
        <v/>
      </c>
      <c r="K504" t="str">
        <f t="shared" si="28"/>
        <v/>
      </c>
      <c r="L504" t="str">
        <f t="shared" si="29"/>
        <v/>
      </c>
      <c r="M504" t="str">
        <f t="shared" si="30"/>
        <v/>
      </c>
    </row>
    <row r="505" spans="8:13" x14ac:dyDescent="0.3">
      <c r="H505" t="str">
        <f t="shared" si="31"/>
        <v/>
      </c>
      <c r="I505" t="str">
        <f>IFERROR(VLOOKUP(H505,List!A:B, 2, FALSE), "")</f>
        <v/>
      </c>
      <c r="K505" t="str">
        <f t="shared" si="28"/>
        <v/>
      </c>
      <c r="L505" t="str">
        <f t="shared" si="29"/>
        <v/>
      </c>
      <c r="M505" t="str">
        <f t="shared" si="30"/>
        <v/>
      </c>
    </row>
    <row r="506" spans="8:13" x14ac:dyDescent="0.3">
      <c r="H506" t="str">
        <f t="shared" si="31"/>
        <v/>
      </c>
      <c r="I506" t="str">
        <f>IFERROR(VLOOKUP(H506,List!A:B, 2, FALSE), "")</f>
        <v/>
      </c>
      <c r="K506" t="str">
        <f t="shared" si="28"/>
        <v/>
      </c>
      <c r="L506" t="str">
        <f t="shared" si="29"/>
        <v/>
      </c>
      <c r="M506" t="str">
        <f t="shared" si="30"/>
        <v/>
      </c>
    </row>
    <row r="507" spans="8:13" x14ac:dyDescent="0.3">
      <c r="H507" t="str">
        <f t="shared" si="31"/>
        <v/>
      </c>
      <c r="I507" t="str">
        <f>IFERROR(VLOOKUP(H507,List!A:B, 2, FALSE), "")</f>
        <v/>
      </c>
      <c r="K507" t="str">
        <f t="shared" si="28"/>
        <v/>
      </c>
      <c r="L507" t="str">
        <f t="shared" si="29"/>
        <v/>
      </c>
      <c r="M507" t="str">
        <f t="shared" si="30"/>
        <v/>
      </c>
    </row>
    <row r="508" spans="8:13" x14ac:dyDescent="0.3">
      <c r="H508" t="str">
        <f t="shared" si="31"/>
        <v/>
      </c>
      <c r="I508" t="str">
        <f>IFERROR(VLOOKUP(H508,List!A:B, 2, FALSE), "")</f>
        <v/>
      </c>
      <c r="K508" t="str">
        <f t="shared" si="28"/>
        <v/>
      </c>
      <c r="L508" t="str">
        <f t="shared" si="29"/>
        <v/>
      </c>
      <c r="M508" t="str">
        <f t="shared" si="30"/>
        <v/>
      </c>
    </row>
    <row r="509" spans="8:13" x14ac:dyDescent="0.3">
      <c r="H509" t="str">
        <f t="shared" si="31"/>
        <v/>
      </c>
      <c r="I509" t="str">
        <f>IFERROR(VLOOKUP(H509,List!A:B, 2, FALSE), "")</f>
        <v/>
      </c>
      <c r="K509" t="str">
        <f t="shared" si="28"/>
        <v/>
      </c>
      <c r="L509" t="str">
        <f t="shared" si="29"/>
        <v/>
      </c>
      <c r="M509" t="str">
        <f t="shared" si="30"/>
        <v/>
      </c>
    </row>
    <row r="510" spans="8:13" x14ac:dyDescent="0.3">
      <c r="H510" t="str">
        <f t="shared" si="31"/>
        <v/>
      </c>
      <c r="I510" t="str">
        <f>IFERROR(VLOOKUP(H510,List!A:B, 2, FALSE), "")</f>
        <v/>
      </c>
      <c r="K510" t="str">
        <f t="shared" si="28"/>
        <v/>
      </c>
      <c r="L510" t="str">
        <f t="shared" si="29"/>
        <v/>
      </c>
      <c r="M510" t="str">
        <f t="shared" si="30"/>
        <v/>
      </c>
    </row>
    <row r="511" spans="8:13" x14ac:dyDescent="0.3">
      <c r="H511" t="str">
        <f t="shared" si="31"/>
        <v/>
      </c>
      <c r="I511" t="str">
        <f>IFERROR(VLOOKUP(H511,List!A:B, 2, FALSE), "")</f>
        <v/>
      </c>
      <c r="K511" t="str">
        <f t="shared" si="28"/>
        <v/>
      </c>
      <c r="L511" t="str">
        <f t="shared" si="29"/>
        <v/>
      </c>
      <c r="M511" t="str">
        <f t="shared" si="30"/>
        <v/>
      </c>
    </row>
    <row r="512" spans="8:13" x14ac:dyDescent="0.3">
      <c r="H512" t="str">
        <f t="shared" si="31"/>
        <v/>
      </c>
      <c r="I512" t="str">
        <f>IFERROR(VLOOKUP(H512,List!A:B, 2, FALSE), "")</f>
        <v/>
      </c>
      <c r="K512" t="str">
        <f t="shared" si="28"/>
        <v/>
      </c>
      <c r="L512" t="str">
        <f t="shared" si="29"/>
        <v/>
      </c>
      <c r="M512" t="str">
        <f t="shared" si="30"/>
        <v/>
      </c>
    </row>
    <row r="513" spans="8:13" x14ac:dyDescent="0.3">
      <c r="H513" t="str">
        <f t="shared" si="31"/>
        <v/>
      </c>
      <c r="I513" t="str">
        <f>IFERROR(VLOOKUP(H513,List!A:B, 2, FALSE), "")</f>
        <v/>
      </c>
      <c r="K513" t="str">
        <f t="shared" si="28"/>
        <v/>
      </c>
      <c r="L513" t="str">
        <f t="shared" si="29"/>
        <v/>
      </c>
      <c r="M513" t="str">
        <f t="shared" si="30"/>
        <v/>
      </c>
    </row>
    <row r="514" spans="8:13" x14ac:dyDescent="0.3">
      <c r="H514" t="str">
        <f t="shared" si="31"/>
        <v/>
      </c>
      <c r="I514" t="str">
        <f>IFERROR(VLOOKUP(H514,List!A:B, 2, FALSE), "")</f>
        <v/>
      </c>
      <c r="K514" t="str">
        <f t="shared" si="28"/>
        <v/>
      </c>
      <c r="L514" t="str">
        <f t="shared" si="29"/>
        <v/>
      </c>
      <c r="M514" t="str">
        <f t="shared" si="30"/>
        <v/>
      </c>
    </row>
    <row r="515" spans="8:13" x14ac:dyDescent="0.3">
      <c r="H515" t="str">
        <f t="shared" si="31"/>
        <v/>
      </c>
      <c r="I515" t="str">
        <f>IFERROR(VLOOKUP(H515,List!A:B, 2, FALSE), "")</f>
        <v/>
      </c>
      <c r="K515" t="str">
        <f t="shared" ref="K515:K578" si="32">SUBSTITUTE(SUBSTITUTE(SUBSTITUTE(SUBSTITUTE(C515,"-",""),"+",""),"p:","")," ","")</f>
        <v/>
      </c>
      <c r="L515" t="str">
        <f t="shared" ref="L515:L578" si="33">K515</f>
        <v/>
      </c>
      <c r="M515" t="str">
        <f t="shared" ref="M515:M578" si="34">IF(LEFT(L515, 2) = "91", RIGHT(L515, LEN(L515) - 2),
 IF(LEFT(L515, 3) = "971", RIGHT(L515, LEN(L515) - 3),
  IF(LEFT(L515, 2) = "92", RIGHT(L515, LEN(L515) - 2),
   IF(LEFT(L515, 3) = "974", RIGHT(L515, LEN(L515) - 3),
    IF(LEFT(L515, 2) = "60", RIGHT(L515, LEN(L515) - 2),
     IF(LEFT(L515, 2) = "65", RIGHT(L515, LEN(L515) - 2),
      IF(LEFT(L515, 3) = "966", RIGHT(L515, LEN(L515) - 3),
       IF(LEFT(L515, 3) = "967", RIGHT(L515, LEN(L515) - 3),
        IF(LEFT(L515, 3) = "968", RIGHT(L515, LEN(L515) - 3),
         IF(LEFT(L515, 3) = "249", RIGHT(L515, LEN(L515) - 3),
          IF(LEFT(L515, 3) = "213", RIGHT(L515, LEN(L515) - 3),
           IF(LEFT(L515, 3) = "965", RIGHT(L515, LEN(L515) - 3),
            IF(LEFT(L515, 3) = "1", RIGHT(L515, LEN(L515) - 1),
             IF(LEFT(L515, 3) = "973", RIGHT(L515, LEN(L515) - 3),
              IF(LEFT(L515, 3) = "233", RIGHT(L515, LEN(L515) - 3),
               IF(LEFT(L515, 3) = "977", RIGHT(L515, LEN(L515) - 3),
                IF(LEFT(L515, 2) = "20", RIGHT(L515, LEN(L515) - 2),
                 L515
                )
               )
              )
             )
            )
           )
          )
         )
        )
       )
      )
     )
    )
   )
  )
 )
)</f>
        <v/>
      </c>
    </row>
    <row r="516" spans="8:13" x14ac:dyDescent="0.3">
      <c r="H516" t="str">
        <f t="shared" si="31"/>
        <v/>
      </c>
      <c r="I516" t="str">
        <f>IFERROR(VLOOKUP(H516,List!A:B, 2, FALSE), "")</f>
        <v/>
      </c>
      <c r="K516" t="str">
        <f t="shared" si="32"/>
        <v/>
      </c>
      <c r="L516" t="str">
        <f t="shared" si="33"/>
        <v/>
      </c>
      <c r="M516" t="str">
        <f t="shared" si="34"/>
        <v/>
      </c>
    </row>
    <row r="517" spans="8:13" x14ac:dyDescent="0.3">
      <c r="H517" t="str">
        <f t="shared" si="31"/>
        <v/>
      </c>
      <c r="I517" t="str">
        <f>IFERROR(VLOOKUP(H517,List!A:B, 2, FALSE), "")</f>
        <v/>
      </c>
      <c r="K517" t="str">
        <f t="shared" si="32"/>
        <v/>
      </c>
      <c r="L517" t="str">
        <f t="shared" si="33"/>
        <v/>
      </c>
      <c r="M517" t="str">
        <f t="shared" si="34"/>
        <v/>
      </c>
    </row>
    <row r="518" spans="8:13" x14ac:dyDescent="0.3">
      <c r="H518" t="str">
        <f t="shared" si="31"/>
        <v/>
      </c>
      <c r="I518" t="str">
        <f>IFERROR(VLOOKUP(H518,List!A:B, 2, FALSE), "")</f>
        <v/>
      </c>
      <c r="K518" t="str">
        <f t="shared" si="32"/>
        <v/>
      </c>
      <c r="L518" t="str">
        <f t="shared" si="33"/>
        <v/>
      </c>
      <c r="M518" t="str">
        <f t="shared" si="34"/>
        <v/>
      </c>
    </row>
    <row r="519" spans="8:13" x14ac:dyDescent="0.3">
      <c r="H519" t="str">
        <f t="shared" ref="H519:H582" si="35">IF(N519=0,"","")</f>
        <v/>
      </c>
      <c r="I519" t="str">
        <f>IFERROR(VLOOKUP(H519,List!A:B, 2, FALSE), "")</f>
        <v/>
      </c>
      <c r="K519" t="str">
        <f t="shared" si="32"/>
        <v/>
      </c>
      <c r="L519" t="str">
        <f t="shared" si="33"/>
        <v/>
      </c>
      <c r="M519" t="str">
        <f t="shared" si="34"/>
        <v/>
      </c>
    </row>
    <row r="520" spans="8:13" x14ac:dyDescent="0.3">
      <c r="H520" t="str">
        <f t="shared" si="35"/>
        <v/>
      </c>
      <c r="I520" t="str">
        <f>IFERROR(VLOOKUP(H520,List!A:B, 2, FALSE), "")</f>
        <v/>
      </c>
      <c r="K520" t="str">
        <f t="shared" si="32"/>
        <v/>
      </c>
      <c r="L520" t="str">
        <f t="shared" si="33"/>
        <v/>
      </c>
      <c r="M520" t="str">
        <f t="shared" si="34"/>
        <v/>
      </c>
    </row>
    <row r="521" spans="8:13" x14ac:dyDescent="0.3">
      <c r="H521" t="str">
        <f t="shared" si="35"/>
        <v/>
      </c>
      <c r="I521" t="str">
        <f>IFERROR(VLOOKUP(H521,List!A:B, 2, FALSE), "")</f>
        <v/>
      </c>
      <c r="K521" t="str">
        <f t="shared" si="32"/>
        <v/>
      </c>
      <c r="L521" t="str">
        <f t="shared" si="33"/>
        <v/>
      </c>
      <c r="M521" t="str">
        <f t="shared" si="34"/>
        <v/>
      </c>
    </row>
    <row r="522" spans="8:13" x14ac:dyDescent="0.3">
      <c r="H522" t="str">
        <f t="shared" si="35"/>
        <v/>
      </c>
      <c r="I522" t="str">
        <f>IFERROR(VLOOKUP(H522,List!A:B, 2, FALSE), "")</f>
        <v/>
      </c>
      <c r="K522" t="str">
        <f t="shared" si="32"/>
        <v/>
      </c>
      <c r="L522" t="str">
        <f t="shared" si="33"/>
        <v/>
      </c>
      <c r="M522" t="str">
        <f t="shared" si="34"/>
        <v/>
      </c>
    </row>
    <row r="523" spans="8:13" x14ac:dyDescent="0.3">
      <c r="H523" t="str">
        <f t="shared" si="35"/>
        <v/>
      </c>
      <c r="I523" t="str">
        <f>IFERROR(VLOOKUP(H523,List!A:B, 2, FALSE), "")</f>
        <v/>
      </c>
      <c r="K523" t="str">
        <f t="shared" si="32"/>
        <v/>
      </c>
      <c r="L523" t="str">
        <f t="shared" si="33"/>
        <v/>
      </c>
      <c r="M523" t="str">
        <f t="shared" si="34"/>
        <v/>
      </c>
    </row>
    <row r="524" spans="8:13" x14ac:dyDescent="0.3">
      <c r="H524" t="str">
        <f t="shared" si="35"/>
        <v/>
      </c>
      <c r="I524" t="str">
        <f>IFERROR(VLOOKUP(H524,List!A:B, 2, FALSE), "")</f>
        <v/>
      </c>
      <c r="K524" t="str">
        <f t="shared" si="32"/>
        <v/>
      </c>
      <c r="L524" t="str">
        <f t="shared" si="33"/>
        <v/>
      </c>
      <c r="M524" t="str">
        <f t="shared" si="34"/>
        <v/>
      </c>
    </row>
    <row r="525" spans="8:13" x14ac:dyDescent="0.3">
      <c r="H525" t="str">
        <f t="shared" si="35"/>
        <v/>
      </c>
      <c r="I525" t="str">
        <f>IFERROR(VLOOKUP(H525,List!A:B, 2, FALSE), "")</f>
        <v/>
      </c>
      <c r="K525" t="str">
        <f t="shared" si="32"/>
        <v/>
      </c>
      <c r="L525" t="str">
        <f t="shared" si="33"/>
        <v/>
      </c>
      <c r="M525" t="str">
        <f t="shared" si="34"/>
        <v/>
      </c>
    </row>
    <row r="526" spans="8:13" x14ac:dyDescent="0.3">
      <c r="H526" t="str">
        <f t="shared" si="35"/>
        <v/>
      </c>
      <c r="I526" t="str">
        <f>IFERROR(VLOOKUP(H526,List!A:B, 2, FALSE), "")</f>
        <v/>
      </c>
      <c r="K526" t="str">
        <f t="shared" si="32"/>
        <v/>
      </c>
      <c r="L526" t="str">
        <f t="shared" si="33"/>
        <v/>
      </c>
      <c r="M526" t="str">
        <f t="shared" si="34"/>
        <v/>
      </c>
    </row>
    <row r="527" spans="8:13" x14ac:dyDescent="0.3">
      <c r="H527" t="str">
        <f t="shared" si="35"/>
        <v/>
      </c>
      <c r="I527" t="str">
        <f>IFERROR(VLOOKUP(H527,List!A:B, 2, FALSE), "")</f>
        <v/>
      </c>
      <c r="K527" t="str">
        <f t="shared" si="32"/>
        <v/>
      </c>
      <c r="L527" t="str">
        <f t="shared" si="33"/>
        <v/>
      </c>
      <c r="M527" t="str">
        <f t="shared" si="34"/>
        <v/>
      </c>
    </row>
    <row r="528" spans="8:13" x14ac:dyDescent="0.3">
      <c r="H528" t="str">
        <f t="shared" si="35"/>
        <v/>
      </c>
      <c r="I528" t="str">
        <f>IFERROR(VLOOKUP(H528,List!A:B, 2, FALSE), "")</f>
        <v/>
      </c>
      <c r="K528" t="str">
        <f t="shared" si="32"/>
        <v/>
      </c>
      <c r="L528" t="str">
        <f t="shared" si="33"/>
        <v/>
      </c>
      <c r="M528" t="str">
        <f t="shared" si="34"/>
        <v/>
      </c>
    </row>
    <row r="529" spans="8:13" x14ac:dyDescent="0.3">
      <c r="H529" t="str">
        <f t="shared" si="35"/>
        <v/>
      </c>
      <c r="I529" t="str">
        <f>IFERROR(VLOOKUP(H529,List!A:B, 2, FALSE), "")</f>
        <v/>
      </c>
      <c r="K529" t="str">
        <f t="shared" si="32"/>
        <v/>
      </c>
      <c r="L529" t="str">
        <f t="shared" si="33"/>
        <v/>
      </c>
      <c r="M529" t="str">
        <f t="shared" si="34"/>
        <v/>
      </c>
    </row>
    <row r="530" spans="8:13" x14ac:dyDescent="0.3">
      <c r="H530" t="str">
        <f t="shared" si="35"/>
        <v/>
      </c>
      <c r="I530" t="str">
        <f>IFERROR(VLOOKUP(H530,List!A:B, 2, FALSE), "")</f>
        <v/>
      </c>
      <c r="K530" t="str">
        <f t="shared" si="32"/>
        <v/>
      </c>
      <c r="L530" t="str">
        <f t="shared" si="33"/>
        <v/>
      </c>
      <c r="M530" t="str">
        <f t="shared" si="34"/>
        <v/>
      </c>
    </row>
    <row r="531" spans="8:13" x14ac:dyDescent="0.3">
      <c r="H531" t="str">
        <f t="shared" si="35"/>
        <v/>
      </c>
      <c r="I531" t="str">
        <f>IFERROR(VLOOKUP(H531,List!A:B, 2, FALSE), "")</f>
        <v/>
      </c>
      <c r="K531" t="str">
        <f t="shared" si="32"/>
        <v/>
      </c>
      <c r="L531" t="str">
        <f t="shared" si="33"/>
        <v/>
      </c>
      <c r="M531" t="str">
        <f t="shared" si="34"/>
        <v/>
      </c>
    </row>
    <row r="532" spans="8:13" x14ac:dyDescent="0.3">
      <c r="H532" t="str">
        <f t="shared" si="35"/>
        <v/>
      </c>
      <c r="I532" t="str">
        <f>IFERROR(VLOOKUP(H532,List!A:B, 2, FALSE), "")</f>
        <v/>
      </c>
      <c r="K532" t="str">
        <f t="shared" si="32"/>
        <v/>
      </c>
      <c r="L532" t="str">
        <f t="shared" si="33"/>
        <v/>
      </c>
      <c r="M532" t="str">
        <f t="shared" si="34"/>
        <v/>
      </c>
    </row>
    <row r="533" spans="8:13" x14ac:dyDescent="0.3">
      <c r="H533" t="str">
        <f t="shared" si="35"/>
        <v/>
      </c>
      <c r="I533" t="str">
        <f>IFERROR(VLOOKUP(H533,List!A:B, 2, FALSE), "")</f>
        <v/>
      </c>
      <c r="K533" t="str">
        <f t="shared" si="32"/>
        <v/>
      </c>
      <c r="L533" t="str">
        <f t="shared" si="33"/>
        <v/>
      </c>
      <c r="M533" t="str">
        <f t="shared" si="34"/>
        <v/>
      </c>
    </row>
    <row r="534" spans="8:13" x14ac:dyDescent="0.3">
      <c r="H534" t="str">
        <f t="shared" si="35"/>
        <v/>
      </c>
      <c r="I534" t="str">
        <f>IFERROR(VLOOKUP(H534,List!A:B, 2, FALSE), "")</f>
        <v/>
      </c>
      <c r="K534" t="str">
        <f t="shared" si="32"/>
        <v/>
      </c>
      <c r="L534" t="str">
        <f t="shared" si="33"/>
        <v/>
      </c>
      <c r="M534" t="str">
        <f t="shared" si="34"/>
        <v/>
      </c>
    </row>
    <row r="535" spans="8:13" x14ac:dyDescent="0.3">
      <c r="H535" t="str">
        <f t="shared" si="35"/>
        <v/>
      </c>
      <c r="I535" t="str">
        <f>IFERROR(VLOOKUP(H535,List!A:B, 2, FALSE), "")</f>
        <v/>
      </c>
      <c r="K535" t="str">
        <f t="shared" si="32"/>
        <v/>
      </c>
      <c r="L535" t="str">
        <f t="shared" si="33"/>
        <v/>
      </c>
      <c r="M535" t="str">
        <f t="shared" si="34"/>
        <v/>
      </c>
    </row>
    <row r="536" spans="8:13" x14ac:dyDescent="0.3">
      <c r="H536" t="str">
        <f t="shared" si="35"/>
        <v/>
      </c>
      <c r="I536" t="str">
        <f>IFERROR(VLOOKUP(H536,List!A:B, 2, FALSE), "")</f>
        <v/>
      </c>
      <c r="K536" t="str">
        <f t="shared" si="32"/>
        <v/>
      </c>
      <c r="L536" t="str">
        <f t="shared" si="33"/>
        <v/>
      </c>
      <c r="M536" t="str">
        <f t="shared" si="34"/>
        <v/>
      </c>
    </row>
    <row r="537" spans="8:13" x14ac:dyDescent="0.3">
      <c r="H537" t="str">
        <f t="shared" si="35"/>
        <v/>
      </c>
      <c r="I537" t="str">
        <f>IFERROR(VLOOKUP(H537,List!A:B, 2, FALSE), "")</f>
        <v/>
      </c>
      <c r="K537" t="str">
        <f t="shared" si="32"/>
        <v/>
      </c>
      <c r="L537" t="str">
        <f t="shared" si="33"/>
        <v/>
      </c>
      <c r="M537" t="str">
        <f t="shared" si="34"/>
        <v/>
      </c>
    </row>
    <row r="538" spans="8:13" x14ac:dyDescent="0.3">
      <c r="H538" t="str">
        <f t="shared" si="35"/>
        <v/>
      </c>
      <c r="I538" t="str">
        <f>IFERROR(VLOOKUP(H538,List!A:B, 2, FALSE), "")</f>
        <v/>
      </c>
      <c r="K538" t="str">
        <f t="shared" si="32"/>
        <v/>
      </c>
      <c r="L538" t="str">
        <f t="shared" si="33"/>
        <v/>
      </c>
      <c r="M538" t="str">
        <f t="shared" si="34"/>
        <v/>
      </c>
    </row>
    <row r="539" spans="8:13" x14ac:dyDescent="0.3">
      <c r="H539" t="str">
        <f t="shared" si="35"/>
        <v/>
      </c>
      <c r="I539" t="str">
        <f>IFERROR(VLOOKUP(H539,List!A:B, 2, FALSE), "")</f>
        <v/>
      </c>
      <c r="K539" t="str">
        <f t="shared" si="32"/>
        <v/>
      </c>
      <c r="L539" t="str">
        <f t="shared" si="33"/>
        <v/>
      </c>
      <c r="M539" t="str">
        <f t="shared" si="34"/>
        <v/>
      </c>
    </row>
    <row r="540" spans="8:13" x14ac:dyDescent="0.3">
      <c r="H540" t="str">
        <f t="shared" si="35"/>
        <v/>
      </c>
      <c r="I540" t="str">
        <f>IFERROR(VLOOKUP(H540,List!A:B, 2, FALSE), "")</f>
        <v/>
      </c>
      <c r="K540" t="str">
        <f t="shared" si="32"/>
        <v/>
      </c>
      <c r="L540" t="str">
        <f t="shared" si="33"/>
        <v/>
      </c>
      <c r="M540" t="str">
        <f t="shared" si="34"/>
        <v/>
      </c>
    </row>
    <row r="541" spans="8:13" x14ac:dyDescent="0.3">
      <c r="H541" t="str">
        <f t="shared" si="35"/>
        <v/>
      </c>
      <c r="I541" t="str">
        <f>IFERROR(VLOOKUP(H541,List!A:B, 2, FALSE), "")</f>
        <v/>
      </c>
      <c r="K541" t="str">
        <f t="shared" si="32"/>
        <v/>
      </c>
      <c r="L541" t="str">
        <f t="shared" si="33"/>
        <v/>
      </c>
      <c r="M541" t="str">
        <f t="shared" si="34"/>
        <v/>
      </c>
    </row>
    <row r="542" spans="8:13" x14ac:dyDescent="0.3">
      <c r="H542" t="str">
        <f t="shared" si="35"/>
        <v/>
      </c>
      <c r="I542" t="str">
        <f>IFERROR(VLOOKUP(H542,List!A:B, 2, FALSE), "")</f>
        <v/>
      </c>
      <c r="K542" t="str">
        <f t="shared" si="32"/>
        <v/>
      </c>
      <c r="L542" t="str">
        <f t="shared" si="33"/>
        <v/>
      </c>
      <c r="M542" t="str">
        <f t="shared" si="34"/>
        <v/>
      </c>
    </row>
    <row r="543" spans="8:13" x14ac:dyDescent="0.3">
      <c r="H543" t="str">
        <f t="shared" si="35"/>
        <v/>
      </c>
      <c r="I543" t="str">
        <f>IFERROR(VLOOKUP(H543,List!A:B, 2, FALSE), "")</f>
        <v/>
      </c>
      <c r="K543" t="str">
        <f t="shared" si="32"/>
        <v/>
      </c>
      <c r="L543" t="str">
        <f t="shared" si="33"/>
        <v/>
      </c>
      <c r="M543" t="str">
        <f t="shared" si="34"/>
        <v/>
      </c>
    </row>
    <row r="544" spans="8:13" x14ac:dyDescent="0.3">
      <c r="H544" t="str">
        <f t="shared" si="35"/>
        <v/>
      </c>
      <c r="I544" t="str">
        <f>IFERROR(VLOOKUP(H544,List!A:B, 2, FALSE), "")</f>
        <v/>
      </c>
      <c r="K544" t="str">
        <f t="shared" si="32"/>
        <v/>
      </c>
      <c r="L544" t="str">
        <f t="shared" si="33"/>
        <v/>
      </c>
      <c r="M544" t="str">
        <f t="shared" si="34"/>
        <v/>
      </c>
    </row>
    <row r="545" spans="8:13" x14ac:dyDescent="0.3">
      <c r="H545" t="str">
        <f t="shared" si="35"/>
        <v/>
      </c>
      <c r="I545" t="str">
        <f>IFERROR(VLOOKUP(H545,List!A:B, 2, FALSE), "")</f>
        <v/>
      </c>
      <c r="K545" t="str">
        <f t="shared" si="32"/>
        <v/>
      </c>
      <c r="L545" t="str">
        <f t="shared" si="33"/>
        <v/>
      </c>
      <c r="M545" t="str">
        <f t="shared" si="34"/>
        <v/>
      </c>
    </row>
    <row r="546" spans="8:13" x14ac:dyDescent="0.3">
      <c r="H546" t="str">
        <f t="shared" si="35"/>
        <v/>
      </c>
      <c r="I546" t="str">
        <f>IFERROR(VLOOKUP(H546,List!A:B, 2, FALSE), "")</f>
        <v/>
      </c>
      <c r="K546" t="str">
        <f t="shared" si="32"/>
        <v/>
      </c>
      <c r="L546" t="str">
        <f t="shared" si="33"/>
        <v/>
      </c>
      <c r="M546" t="str">
        <f t="shared" si="34"/>
        <v/>
      </c>
    </row>
    <row r="547" spans="8:13" x14ac:dyDescent="0.3">
      <c r="H547" t="str">
        <f t="shared" si="35"/>
        <v/>
      </c>
      <c r="I547" t="str">
        <f>IFERROR(VLOOKUP(H547,List!A:B, 2, FALSE), "")</f>
        <v/>
      </c>
      <c r="K547" t="str">
        <f t="shared" si="32"/>
        <v/>
      </c>
      <c r="L547" t="str">
        <f t="shared" si="33"/>
        <v/>
      </c>
      <c r="M547" t="str">
        <f t="shared" si="34"/>
        <v/>
      </c>
    </row>
    <row r="548" spans="8:13" x14ac:dyDescent="0.3">
      <c r="H548" t="str">
        <f t="shared" si="35"/>
        <v/>
      </c>
      <c r="I548" t="str">
        <f>IFERROR(VLOOKUP(H548,List!A:B, 2, FALSE), "")</f>
        <v/>
      </c>
      <c r="K548" t="str">
        <f t="shared" si="32"/>
        <v/>
      </c>
      <c r="L548" t="str">
        <f t="shared" si="33"/>
        <v/>
      </c>
      <c r="M548" t="str">
        <f t="shared" si="34"/>
        <v/>
      </c>
    </row>
    <row r="549" spans="8:13" x14ac:dyDescent="0.3">
      <c r="H549" t="str">
        <f t="shared" si="35"/>
        <v/>
      </c>
      <c r="I549" t="str">
        <f>IFERROR(VLOOKUP(H549,List!A:B, 2, FALSE), "")</f>
        <v/>
      </c>
      <c r="K549" t="str">
        <f t="shared" si="32"/>
        <v/>
      </c>
      <c r="L549" t="str">
        <f t="shared" si="33"/>
        <v/>
      </c>
      <c r="M549" t="str">
        <f t="shared" si="34"/>
        <v/>
      </c>
    </row>
    <row r="550" spans="8:13" x14ac:dyDescent="0.3">
      <c r="H550" t="str">
        <f t="shared" si="35"/>
        <v/>
      </c>
      <c r="I550" t="str">
        <f>IFERROR(VLOOKUP(H550,List!A:B, 2, FALSE), "")</f>
        <v/>
      </c>
      <c r="K550" t="str">
        <f t="shared" si="32"/>
        <v/>
      </c>
      <c r="L550" t="str">
        <f t="shared" si="33"/>
        <v/>
      </c>
      <c r="M550" t="str">
        <f t="shared" si="34"/>
        <v/>
      </c>
    </row>
    <row r="551" spans="8:13" x14ac:dyDescent="0.3">
      <c r="H551" t="str">
        <f t="shared" si="35"/>
        <v/>
      </c>
      <c r="I551" t="str">
        <f>IFERROR(VLOOKUP(H551,List!A:B, 2, FALSE), "")</f>
        <v/>
      </c>
      <c r="K551" t="str">
        <f t="shared" si="32"/>
        <v/>
      </c>
      <c r="L551" t="str">
        <f t="shared" si="33"/>
        <v/>
      </c>
      <c r="M551" t="str">
        <f t="shared" si="34"/>
        <v/>
      </c>
    </row>
    <row r="552" spans="8:13" x14ac:dyDescent="0.3">
      <c r="H552" t="str">
        <f t="shared" si="35"/>
        <v/>
      </c>
      <c r="I552" t="str">
        <f>IFERROR(VLOOKUP(H552,List!A:B, 2, FALSE), "")</f>
        <v/>
      </c>
      <c r="K552" t="str">
        <f t="shared" si="32"/>
        <v/>
      </c>
      <c r="L552" t="str">
        <f t="shared" si="33"/>
        <v/>
      </c>
      <c r="M552" t="str">
        <f t="shared" si="34"/>
        <v/>
      </c>
    </row>
    <row r="553" spans="8:13" x14ac:dyDescent="0.3">
      <c r="H553" t="str">
        <f t="shared" si="35"/>
        <v/>
      </c>
      <c r="I553" t="str">
        <f>IFERROR(VLOOKUP(H553,List!A:B, 2, FALSE), "")</f>
        <v/>
      </c>
      <c r="K553" t="str">
        <f t="shared" si="32"/>
        <v/>
      </c>
      <c r="L553" t="str">
        <f t="shared" si="33"/>
        <v/>
      </c>
      <c r="M553" t="str">
        <f t="shared" si="34"/>
        <v/>
      </c>
    </row>
    <row r="554" spans="8:13" x14ac:dyDescent="0.3">
      <c r="H554" t="str">
        <f t="shared" si="35"/>
        <v/>
      </c>
      <c r="I554" t="str">
        <f>IFERROR(VLOOKUP(H554,List!A:B, 2, FALSE), "")</f>
        <v/>
      </c>
      <c r="K554" t="str">
        <f t="shared" si="32"/>
        <v/>
      </c>
      <c r="L554" t="str">
        <f t="shared" si="33"/>
        <v/>
      </c>
      <c r="M554" t="str">
        <f t="shared" si="34"/>
        <v/>
      </c>
    </row>
    <row r="555" spans="8:13" x14ac:dyDescent="0.3">
      <c r="H555" t="str">
        <f t="shared" si="35"/>
        <v/>
      </c>
      <c r="I555" t="str">
        <f>IFERROR(VLOOKUP(H555,List!A:B, 2, FALSE), "")</f>
        <v/>
      </c>
      <c r="K555" t="str">
        <f t="shared" si="32"/>
        <v/>
      </c>
      <c r="L555" t="str">
        <f t="shared" si="33"/>
        <v/>
      </c>
      <c r="M555" t="str">
        <f t="shared" si="34"/>
        <v/>
      </c>
    </row>
    <row r="556" spans="8:13" x14ac:dyDescent="0.3">
      <c r="H556" t="str">
        <f t="shared" si="35"/>
        <v/>
      </c>
      <c r="I556" t="str">
        <f>IFERROR(VLOOKUP(H556,List!A:B, 2, FALSE), "")</f>
        <v/>
      </c>
      <c r="K556" t="str">
        <f t="shared" si="32"/>
        <v/>
      </c>
      <c r="L556" t="str">
        <f t="shared" si="33"/>
        <v/>
      </c>
      <c r="M556" t="str">
        <f t="shared" si="34"/>
        <v/>
      </c>
    </row>
    <row r="557" spans="8:13" x14ac:dyDescent="0.3">
      <c r="H557" t="str">
        <f t="shared" si="35"/>
        <v/>
      </c>
      <c r="I557" t="str">
        <f>IFERROR(VLOOKUP(H557,List!A:B, 2, FALSE), "")</f>
        <v/>
      </c>
      <c r="K557" t="str">
        <f t="shared" si="32"/>
        <v/>
      </c>
      <c r="L557" t="str">
        <f t="shared" si="33"/>
        <v/>
      </c>
      <c r="M557" t="str">
        <f t="shared" si="34"/>
        <v/>
      </c>
    </row>
    <row r="558" spans="8:13" x14ac:dyDescent="0.3">
      <c r="H558" t="str">
        <f t="shared" si="35"/>
        <v/>
      </c>
      <c r="I558" t="str">
        <f>IFERROR(VLOOKUP(H558,List!A:B, 2, FALSE), "")</f>
        <v/>
      </c>
      <c r="K558" t="str">
        <f t="shared" si="32"/>
        <v/>
      </c>
      <c r="L558" t="str">
        <f t="shared" si="33"/>
        <v/>
      </c>
      <c r="M558" t="str">
        <f t="shared" si="34"/>
        <v/>
      </c>
    </row>
    <row r="559" spans="8:13" x14ac:dyDescent="0.3">
      <c r="H559" t="str">
        <f t="shared" si="35"/>
        <v/>
      </c>
      <c r="I559" t="str">
        <f>IFERROR(VLOOKUP(H559,List!A:B, 2, FALSE), "")</f>
        <v/>
      </c>
      <c r="K559" t="str">
        <f t="shared" si="32"/>
        <v/>
      </c>
      <c r="L559" t="str">
        <f t="shared" si="33"/>
        <v/>
      </c>
      <c r="M559" t="str">
        <f t="shared" si="34"/>
        <v/>
      </c>
    </row>
    <row r="560" spans="8:13" x14ac:dyDescent="0.3">
      <c r="H560" t="str">
        <f t="shared" si="35"/>
        <v/>
      </c>
      <c r="I560" t="str">
        <f>IFERROR(VLOOKUP(H560,List!A:B, 2, FALSE), "")</f>
        <v/>
      </c>
      <c r="K560" t="str">
        <f t="shared" si="32"/>
        <v/>
      </c>
      <c r="L560" t="str">
        <f t="shared" si="33"/>
        <v/>
      </c>
      <c r="M560" t="str">
        <f t="shared" si="34"/>
        <v/>
      </c>
    </row>
    <row r="561" spans="8:13" x14ac:dyDescent="0.3">
      <c r="H561" t="str">
        <f t="shared" si="35"/>
        <v/>
      </c>
      <c r="I561" t="str">
        <f>IFERROR(VLOOKUP(H561,List!A:B, 2, FALSE), "")</f>
        <v/>
      </c>
      <c r="K561" t="str">
        <f t="shared" si="32"/>
        <v/>
      </c>
      <c r="L561" t="str">
        <f t="shared" si="33"/>
        <v/>
      </c>
      <c r="M561" t="str">
        <f t="shared" si="34"/>
        <v/>
      </c>
    </row>
    <row r="562" spans="8:13" x14ac:dyDescent="0.3">
      <c r="H562" t="str">
        <f t="shared" si="35"/>
        <v/>
      </c>
      <c r="I562" t="str">
        <f>IFERROR(VLOOKUP(H562,List!A:B, 2, FALSE), "")</f>
        <v/>
      </c>
      <c r="K562" t="str">
        <f t="shared" si="32"/>
        <v/>
      </c>
      <c r="L562" t="str">
        <f t="shared" si="33"/>
        <v/>
      </c>
      <c r="M562" t="str">
        <f t="shared" si="34"/>
        <v/>
      </c>
    </row>
    <row r="563" spans="8:13" x14ac:dyDescent="0.3">
      <c r="H563" t="str">
        <f t="shared" si="35"/>
        <v/>
      </c>
      <c r="I563" t="str">
        <f>IFERROR(VLOOKUP(H563,List!A:B, 2, FALSE), "")</f>
        <v/>
      </c>
      <c r="K563" t="str">
        <f t="shared" si="32"/>
        <v/>
      </c>
      <c r="L563" t="str">
        <f t="shared" si="33"/>
        <v/>
      </c>
      <c r="M563" t="str">
        <f t="shared" si="34"/>
        <v/>
      </c>
    </row>
    <row r="564" spans="8:13" x14ac:dyDescent="0.3">
      <c r="H564" t="str">
        <f t="shared" si="35"/>
        <v/>
      </c>
      <c r="I564" t="str">
        <f>IFERROR(VLOOKUP(H564,List!A:B, 2, FALSE), "")</f>
        <v/>
      </c>
      <c r="K564" t="str">
        <f t="shared" si="32"/>
        <v/>
      </c>
      <c r="L564" t="str">
        <f t="shared" si="33"/>
        <v/>
      </c>
      <c r="M564" t="str">
        <f t="shared" si="34"/>
        <v/>
      </c>
    </row>
    <row r="565" spans="8:13" x14ac:dyDescent="0.3">
      <c r="H565" t="str">
        <f t="shared" si="35"/>
        <v/>
      </c>
      <c r="I565" t="str">
        <f>IFERROR(VLOOKUP(H565,List!A:B, 2, FALSE), "")</f>
        <v/>
      </c>
      <c r="K565" t="str">
        <f t="shared" si="32"/>
        <v/>
      </c>
      <c r="L565" t="str">
        <f t="shared" si="33"/>
        <v/>
      </c>
      <c r="M565" t="str">
        <f t="shared" si="34"/>
        <v/>
      </c>
    </row>
    <row r="566" spans="8:13" x14ac:dyDescent="0.3">
      <c r="H566" t="str">
        <f t="shared" si="35"/>
        <v/>
      </c>
      <c r="I566" t="str">
        <f>IFERROR(VLOOKUP(H566,List!A:B, 2, FALSE), "")</f>
        <v/>
      </c>
      <c r="K566" t="str">
        <f t="shared" si="32"/>
        <v/>
      </c>
      <c r="L566" t="str">
        <f t="shared" si="33"/>
        <v/>
      </c>
      <c r="M566" t="str">
        <f t="shared" si="34"/>
        <v/>
      </c>
    </row>
    <row r="567" spans="8:13" x14ac:dyDescent="0.3">
      <c r="H567" t="str">
        <f t="shared" si="35"/>
        <v/>
      </c>
      <c r="I567" t="str">
        <f>IFERROR(VLOOKUP(H567,List!A:B, 2, FALSE), "")</f>
        <v/>
      </c>
      <c r="K567" t="str">
        <f t="shared" si="32"/>
        <v/>
      </c>
      <c r="L567" t="str">
        <f t="shared" si="33"/>
        <v/>
      </c>
      <c r="M567" t="str">
        <f t="shared" si="34"/>
        <v/>
      </c>
    </row>
    <row r="568" spans="8:13" x14ac:dyDescent="0.3">
      <c r="H568" t="str">
        <f t="shared" si="35"/>
        <v/>
      </c>
      <c r="I568" t="str">
        <f>IFERROR(VLOOKUP(H568,List!A:B, 2, FALSE), "")</f>
        <v/>
      </c>
      <c r="K568" t="str">
        <f t="shared" si="32"/>
        <v/>
      </c>
      <c r="L568" t="str">
        <f t="shared" si="33"/>
        <v/>
      </c>
      <c r="M568" t="str">
        <f t="shared" si="34"/>
        <v/>
      </c>
    </row>
    <row r="569" spans="8:13" x14ac:dyDescent="0.3">
      <c r="H569" t="str">
        <f t="shared" si="35"/>
        <v/>
      </c>
      <c r="I569" t="str">
        <f>IFERROR(VLOOKUP(H569,List!A:B, 2, FALSE), "")</f>
        <v/>
      </c>
      <c r="K569" t="str">
        <f t="shared" si="32"/>
        <v/>
      </c>
      <c r="L569" t="str">
        <f t="shared" si="33"/>
        <v/>
      </c>
      <c r="M569" t="str">
        <f t="shared" si="34"/>
        <v/>
      </c>
    </row>
    <row r="570" spans="8:13" x14ac:dyDescent="0.3">
      <c r="H570" t="str">
        <f t="shared" si="35"/>
        <v/>
      </c>
      <c r="I570" t="str">
        <f>IFERROR(VLOOKUP(H570,List!A:B, 2, FALSE), "")</f>
        <v/>
      </c>
      <c r="K570" t="str">
        <f t="shared" si="32"/>
        <v/>
      </c>
      <c r="L570" t="str">
        <f t="shared" si="33"/>
        <v/>
      </c>
      <c r="M570" t="str">
        <f t="shared" si="34"/>
        <v/>
      </c>
    </row>
    <row r="571" spans="8:13" x14ac:dyDescent="0.3">
      <c r="H571" t="str">
        <f t="shared" si="35"/>
        <v/>
      </c>
      <c r="I571" t="str">
        <f>IFERROR(VLOOKUP(H571,List!A:B, 2, FALSE), "")</f>
        <v/>
      </c>
      <c r="K571" t="str">
        <f t="shared" si="32"/>
        <v/>
      </c>
      <c r="L571" t="str">
        <f t="shared" si="33"/>
        <v/>
      </c>
      <c r="M571" t="str">
        <f t="shared" si="34"/>
        <v/>
      </c>
    </row>
    <row r="572" spans="8:13" x14ac:dyDescent="0.3">
      <c r="H572" t="str">
        <f t="shared" si="35"/>
        <v/>
      </c>
      <c r="I572" t="str">
        <f>IFERROR(VLOOKUP(H572,List!A:B, 2, FALSE), "")</f>
        <v/>
      </c>
      <c r="K572" t="str">
        <f t="shared" si="32"/>
        <v/>
      </c>
      <c r="L572" t="str">
        <f t="shared" si="33"/>
        <v/>
      </c>
      <c r="M572" t="str">
        <f t="shared" si="34"/>
        <v/>
      </c>
    </row>
    <row r="573" spans="8:13" x14ac:dyDescent="0.3">
      <c r="H573" t="str">
        <f t="shared" si="35"/>
        <v/>
      </c>
      <c r="I573" t="str">
        <f>IFERROR(VLOOKUP(H573,List!A:B, 2, FALSE), "")</f>
        <v/>
      </c>
      <c r="K573" t="str">
        <f t="shared" si="32"/>
        <v/>
      </c>
      <c r="L573" t="str">
        <f t="shared" si="33"/>
        <v/>
      </c>
      <c r="M573" t="str">
        <f t="shared" si="34"/>
        <v/>
      </c>
    </row>
    <row r="574" spans="8:13" x14ac:dyDescent="0.3">
      <c r="H574" t="str">
        <f t="shared" si="35"/>
        <v/>
      </c>
      <c r="I574" t="str">
        <f>IFERROR(VLOOKUP(H574,List!A:B, 2, FALSE), "")</f>
        <v/>
      </c>
      <c r="K574" t="str">
        <f t="shared" si="32"/>
        <v/>
      </c>
      <c r="L574" t="str">
        <f t="shared" si="33"/>
        <v/>
      </c>
      <c r="M574" t="str">
        <f t="shared" si="34"/>
        <v/>
      </c>
    </row>
    <row r="575" spans="8:13" x14ac:dyDescent="0.3">
      <c r="H575" t="str">
        <f t="shared" si="35"/>
        <v/>
      </c>
      <c r="I575" t="str">
        <f>IFERROR(VLOOKUP(H575,List!A:B, 2, FALSE), "")</f>
        <v/>
      </c>
      <c r="K575" t="str">
        <f t="shared" si="32"/>
        <v/>
      </c>
      <c r="L575" t="str">
        <f t="shared" si="33"/>
        <v/>
      </c>
      <c r="M575" t="str">
        <f t="shared" si="34"/>
        <v/>
      </c>
    </row>
    <row r="576" spans="8:13" x14ac:dyDescent="0.3">
      <c r="H576" t="str">
        <f t="shared" si="35"/>
        <v/>
      </c>
      <c r="I576" t="str">
        <f>IFERROR(VLOOKUP(H576,List!A:B, 2, FALSE), "")</f>
        <v/>
      </c>
      <c r="K576" t="str">
        <f t="shared" si="32"/>
        <v/>
      </c>
      <c r="L576" t="str">
        <f t="shared" si="33"/>
        <v/>
      </c>
      <c r="M576" t="str">
        <f t="shared" si="34"/>
        <v/>
      </c>
    </row>
    <row r="577" spans="8:13" x14ac:dyDescent="0.3">
      <c r="H577" t="str">
        <f t="shared" si="35"/>
        <v/>
      </c>
      <c r="I577" t="str">
        <f>IFERROR(VLOOKUP(H577,List!A:B, 2, FALSE), "")</f>
        <v/>
      </c>
      <c r="K577" t="str">
        <f t="shared" si="32"/>
        <v/>
      </c>
      <c r="L577" t="str">
        <f t="shared" si="33"/>
        <v/>
      </c>
      <c r="M577" t="str">
        <f t="shared" si="34"/>
        <v/>
      </c>
    </row>
    <row r="578" spans="8:13" x14ac:dyDescent="0.3">
      <c r="H578" t="str">
        <f t="shared" si="35"/>
        <v/>
      </c>
      <c r="I578" t="str">
        <f>IFERROR(VLOOKUP(H578,List!A:B, 2, FALSE), "")</f>
        <v/>
      </c>
      <c r="K578" t="str">
        <f t="shared" si="32"/>
        <v/>
      </c>
      <c r="L578" t="str">
        <f t="shared" si="33"/>
        <v/>
      </c>
      <c r="M578" t="str">
        <f t="shared" si="34"/>
        <v/>
      </c>
    </row>
    <row r="579" spans="8:13" x14ac:dyDescent="0.3">
      <c r="H579" t="str">
        <f t="shared" si="35"/>
        <v/>
      </c>
      <c r="I579" t="str">
        <f>IFERROR(VLOOKUP(H579,List!A:B, 2, FALSE), "")</f>
        <v/>
      </c>
      <c r="K579" t="str">
        <f t="shared" ref="K579:K642" si="36">SUBSTITUTE(SUBSTITUTE(SUBSTITUTE(SUBSTITUTE(C579,"-",""),"+",""),"p:","")," ","")</f>
        <v/>
      </c>
      <c r="L579" t="str">
        <f t="shared" ref="L579:L642" si="37">K579</f>
        <v/>
      </c>
      <c r="M579" t="str">
        <f t="shared" ref="M579:M642" si="38">IF(LEFT(L579, 2) = "91", RIGHT(L579, LEN(L579) - 2),
 IF(LEFT(L579, 3) = "971", RIGHT(L579, LEN(L579) - 3),
  IF(LEFT(L579, 2) = "92", RIGHT(L579, LEN(L579) - 2),
   IF(LEFT(L579, 3) = "974", RIGHT(L579, LEN(L579) - 3),
    IF(LEFT(L579, 2) = "60", RIGHT(L579, LEN(L579) - 2),
     IF(LEFT(L579, 2) = "65", RIGHT(L579, LEN(L579) - 2),
      IF(LEFT(L579, 3) = "966", RIGHT(L579, LEN(L579) - 3),
       IF(LEFT(L579, 3) = "967", RIGHT(L579, LEN(L579) - 3),
        IF(LEFT(L579, 3) = "968", RIGHT(L579, LEN(L579) - 3),
         IF(LEFT(L579, 3) = "249", RIGHT(L579, LEN(L579) - 3),
          IF(LEFT(L579, 3) = "213", RIGHT(L579, LEN(L579) - 3),
           IF(LEFT(L579, 3) = "965", RIGHT(L579, LEN(L579) - 3),
            IF(LEFT(L579, 3) = "1", RIGHT(L579, LEN(L579) - 1),
             IF(LEFT(L579, 3) = "973", RIGHT(L579, LEN(L579) - 3),
              IF(LEFT(L579, 3) = "233", RIGHT(L579, LEN(L579) - 3),
               IF(LEFT(L579, 3) = "977", RIGHT(L579, LEN(L579) - 3),
                IF(LEFT(L579, 2) = "20", RIGHT(L579, LEN(L579) - 2),
                 L579
                )
               )
              )
             )
            )
           )
          )
         )
        )
       )
      )
     )
    )
   )
  )
 )
)</f>
        <v/>
      </c>
    </row>
    <row r="580" spans="8:13" x14ac:dyDescent="0.3">
      <c r="H580" t="str">
        <f t="shared" si="35"/>
        <v/>
      </c>
      <c r="I580" t="str">
        <f>IFERROR(VLOOKUP(H580,List!A:B, 2, FALSE), "")</f>
        <v/>
      </c>
      <c r="K580" t="str">
        <f t="shared" si="36"/>
        <v/>
      </c>
      <c r="L580" t="str">
        <f t="shared" si="37"/>
        <v/>
      </c>
      <c r="M580" t="str">
        <f t="shared" si="38"/>
        <v/>
      </c>
    </row>
    <row r="581" spans="8:13" x14ac:dyDescent="0.3">
      <c r="H581" t="str">
        <f t="shared" si="35"/>
        <v/>
      </c>
      <c r="I581" t="str">
        <f>IFERROR(VLOOKUP(H581,List!A:B, 2, FALSE), "")</f>
        <v/>
      </c>
      <c r="K581" t="str">
        <f t="shared" si="36"/>
        <v/>
      </c>
      <c r="L581" t="str">
        <f t="shared" si="37"/>
        <v/>
      </c>
      <c r="M581" t="str">
        <f t="shared" si="38"/>
        <v/>
      </c>
    </row>
    <row r="582" spans="8:13" x14ac:dyDescent="0.3">
      <c r="H582" t="str">
        <f t="shared" si="35"/>
        <v/>
      </c>
      <c r="I582" t="str">
        <f>IFERROR(VLOOKUP(H582,List!A:B, 2, FALSE), "")</f>
        <v/>
      </c>
      <c r="K582" t="str">
        <f t="shared" si="36"/>
        <v/>
      </c>
      <c r="L582" t="str">
        <f t="shared" si="37"/>
        <v/>
      </c>
      <c r="M582" t="str">
        <f t="shared" si="38"/>
        <v/>
      </c>
    </row>
    <row r="583" spans="8:13" x14ac:dyDescent="0.3">
      <c r="H583" t="str">
        <f t="shared" ref="H583:H646" si="39">IF(N583=0,"","")</f>
        <v/>
      </c>
      <c r="I583" t="str">
        <f>IFERROR(VLOOKUP(H583,List!A:B, 2, FALSE), "")</f>
        <v/>
      </c>
      <c r="K583" t="str">
        <f t="shared" si="36"/>
        <v/>
      </c>
      <c r="L583" t="str">
        <f t="shared" si="37"/>
        <v/>
      </c>
      <c r="M583" t="str">
        <f t="shared" si="38"/>
        <v/>
      </c>
    </row>
    <row r="584" spans="8:13" x14ac:dyDescent="0.3">
      <c r="H584" t="str">
        <f t="shared" si="39"/>
        <v/>
      </c>
      <c r="I584" t="str">
        <f>IFERROR(VLOOKUP(H584,List!A:B, 2, FALSE), "")</f>
        <v/>
      </c>
      <c r="K584" t="str">
        <f t="shared" si="36"/>
        <v/>
      </c>
      <c r="L584" t="str">
        <f t="shared" si="37"/>
        <v/>
      </c>
      <c r="M584" t="str">
        <f t="shared" si="38"/>
        <v/>
      </c>
    </row>
    <row r="585" spans="8:13" x14ac:dyDescent="0.3">
      <c r="H585" t="str">
        <f t="shared" si="39"/>
        <v/>
      </c>
      <c r="I585" t="str">
        <f>IFERROR(VLOOKUP(H585,List!A:B, 2, FALSE), "")</f>
        <v/>
      </c>
      <c r="K585" t="str">
        <f t="shared" si="36"/>
        <v/>
      </c>
      <c r="L585" t="str">
        <f t="shared" si="37"/>
        <v/>
      </c>
      <c r="M585" t="str">
        <f t="shared" si="38"/>
        <v/>
      </c>
    </row>
    <row r="586" spans="8:13" x14ac:dyDescent="0.3">
      <c r="H586" t="str">
        <f t="shared" si="39"/>
        <v/>
      </c>
      <c r="I586" t="str">
        <f>IFERROR(VLOOKUP(H586,List!A:B, 2, FALSE), "")</f>
        <v/>
      </c>
      <c r="K586" t="str">
        <f t="shared" si="36"/>
        <v/>
      </c>
      <c r="L586" t="str">
        <f t="shared" si="37"/>
        <v/>
      </c>
      <c r="M586" t="str">
        <f t="shared" si="38"/>
        <v/>
      </c>
    </row>
    <row r="587" spans="8:13" x14ac:dyDescent="0.3">
      <c r="H587" t="str">
        <f t="shared" si="39"/>
        <v/>
      </c>
      <c r="I587" t="str">
        <f>IFERROR(VLOOKUP(H587,List!A:B, 2, FALSE), "")</f>
        <v/>
      </c>
      <c r="K587" t="str">
        <f t="shared" si="36"/>
        <v/>
      </c>
      <c r="L587" t="str">
        <f t="shared" si="37"/>
        <v/>
      </c>
      <c r="M587" t="str">
        <f t="shared" si="38"/>
        <v/>
      </c>
    </row>
    <row r="588" spans="8:13" x14ac:dyDescent="0.3">
      <c r="H588" t="str">
        <f t="shared" si="39"/>
        <v/>
      </c>
      <c r="I588" t="str">
        <f>IFERROR(VLOOKUP(H588,List!A:B, 2, FALSE), "")</f>
        <v/>
      </c>
      <c r="K588" t="str">
        <f t="shared" si="36"/>
        <v/>
      </c>
      <c r="L588" t="str">
        <f t="shared" si="37"/>
        <v/>
      </c>
      <c r="M588" t="str">
        <f t="shared" si="38"/>
        <v/>
      </c>
    </row>
    <row r="589" spans="8:13" x14ac:dyDescent="0.3">
      <c r="H589" t="str">
        <f t="shared" si="39"/>
        <v/>
      </c>
      <c r="I589" t="str">
        <f>IFERROR(VLOOKUP(H589,List!A:B, 2, FALSE), "")</f>
        <v/>
      </c>
      <c r="K589" t="str">
        <f t="shared" si="36"/>
        <v/>
      </c>
      <c r="L589" t="str">
        <f t="shared" si="37"/>
        <v/>
      </c>
      <c r="M589" t="str">
        <f t="shared" si="38"/>
        <v/>
      </c>
    </row>
    <row r="590" spans="8:13" x14ac:dyDescent="0.3">
      <c r="H590" t="str">
        <f t="shared" si="39"/>
        <v/>
      </c>
      <c r="I590" t="str">
        <f>IFERROR(VLOOKUP(H590,List!A:B, 2, FALSE), "")</f>
        <v/>
      </c>
      <c r="K590" t="str">
        <f t="shared" si="36"/>
        <v/>
      </c>
      <c r="L590" t="str">
        <f t="shared" si="37"/>
        <v/>
      </c>
      <c r="M590" t="str">
        <f t="shared" si="38"/>
        <v/>
      </c>
    </row>
    <row r="591" spans="8:13" x14ac:dyDescent="0.3">
      <c r="H591" t="str">
        <f t="shared" si="39"/>
        <v/>
      </c>
      <c r="I591" t="str">
        <f>IFERROR(VLOOKUP(H591,List!A:B, 2, FALSE), "")</f>
        <v/>
      </c>
      <c r="K591" t="str">
        <f t="shared" si="36"/>
        <v/>
      </c>
      <c r="L591" t="str">
        <f t="shared" si="37"/>
        <v/>
      </c>
      <c r="M591" t="str">
        <f t="shared" si="38"/>
        <v/>
      </c>
    </row>
    <row r="592" spans="8:13" x14ac:dyDescent="0.3">
      <c r="H592" t="str">
        <f t="shared" si="39"/>
        <v/>
      </c>
      <c r="I592" t="str">
        <f>IFERROR(VLOOKUP(H592,List!A:B, 2, FALSE), "")</f>
        <v/>
      </c>
      <c r="K592" t="str">
        <f t="shared" si="36"/>
        <v/>
      </c>
      <c r="L592" t="str">
        <f t="shared" si="37"/>
        <v/>
      </c>
      <c r="M592" t="str">
        <f t="shared" si="38"/>
        <v/>
      </c>
    </row>
    <row r="593" spans="8:13" x14ac:dyDescent="0.3">
      <c r="H593" t="str">
        <f t="shared" si="39"/>
        <v/>
      </c>
      <c r="I593" t="str">
        <f>IFERROR(VLOOKUP(H593,List!A:B, 2, FALSE), "")</f>
        <v/>
      </c>
      <c r="K593" t="str">
        <f t="shared" si="36"/>
        <v/>
      </c>
      <c r="L593" t="str">
        <f t="shared" si="37"/>
        <v/>
      </c>
      <c r="M593" t="str">
        <f t="shared" si="38"/>
        <v/>
      </c>
    </row>
    <row r="594" spans="8:13" x14ac:dyDescent="0.3">
      <c r="H594" t="str">
        <f t="shared" si="39"/>
        <v/>
      </c>
      <c r="I594" t="str">
        <f>IFERROR(VLOOKUP(H594,List!A:B, 2, FALSE), "")</f>
        <v/>
      </c>
      <c r="K594" t="str">
        <f t="shared" si="36"/>
        <v/>
      </c>
      <c r="L594" t="str">
        <f t="shared" si="37"/>
        <v/>
      </c>
      <c r="M594" t="str">
        <f t="shared" si="38"/>
        <v/>
      </c>
    </row>
    <row r="595" spans="8:13" x14ac:dyDescent="0.3">
      <c r="H595" t="str">
        <f t="shared" si="39"/>
        <v/>
      </c>
      <c r="I595" t="str">
        <f>IFERROR(VLOOKUP(H595,List!A:B, 2, FALSE), "")</f>
        <v/>
      </c>
      <c r="K595" t="str">
        <f t="shared" si="36"/>
        <v/>
      </c>
      <c r="L595" t="str">
        <f t="shared" si="37"/>
        <v/>
      </c>
      <c r="M595" t="str">
        <f t="shared" si="38"/>
        <v/>
      </c>
    </row>
    <row r="596" spans="8:13" x14ac:dyDescent="0.3">
      <c r="H596" t="str">
        <f t="shared" si="39"/>
        <v/>
      </c>
      <c r="I596" t="str">
        <f>IFERROR(VLOOKUP(H596,List!A:B, 2, FALSE), "")</f>
        <v/>
      </c>
      <c r="K596" t="str">
        <f t="shared" si="36"/>
        <v/>
      </c>
      <c r="L596" t="str">
        <f t="shared" si="37"/>
        <v/>
      </c>
      <c r="M596" t="str">
        <f t="shared" si="38"/>
        <v/>
      </c>
    </row>
    <row r="597" spans="8:13" x14ac:dyDescent="0.3">
      <c r="H597" t="str">
        <f t="shared" si="39"/>
        <v/>
      </c>
      <c r="I597" t="str">
        <f>IFERROR(VLOOKUP(H597,List!A:B, 2, FALSE), "")</f>
        <v/>
      </c>
      <c r="K597" t="str">
        <f t="shared" si="36"/>
        <v/>
      </c>
      <c r="L597" t="str">
        <f t="shared" si="37"/>
        <v/>
      </c>
      <c r="M597" t="str">
        <f t="shared" si="38"/>
        <v/>
      </c>
    </row>
    <row r="598" spans="8:13" x14ac:dyDescent="0.3">
      <c r="H598" t="str">
        <f t="shared" si="39"/>
        <v/>
      </c>
      <c r="I598" t="str">
        <f>IFERROR(VLOOKUP(H598,List!A:B, 2, FALSE), "")</f>
        <v/>
      </c>
      <c r="K598" t="str">
        <f t="shared" si="36"/>
        <v/>
      </c>
      <c r="L598" t="str">
        <f t="shared" si="37"/>
        <v/>
      </c>
      <c r="M598" t="str">
        <f t="shared" si="38"/>
        <v/>
      </c>
    </row>
    <row r="599" spans="8:13" x14ac:dyDescent="0.3">
      <c r="H599" t="str">
        <f t="shared" si="39"/>
        <v/>
      </c>
      <c r="I599" t="str">
        <f>IFERROR(VLOOKUP(H599,List!A:B, 2, FALSE), "")</f>
        <v/>
      </c>
      <c r="K599" t="str">
        <f t="shared" si="36"/>
        <v/>
      </c>
      <c r="L599" t="str">
        <f t="shared" si="37"/>
        <v/>
      </c>
      <c r="M599" t="str">
        <f t="shared" si="38"/>
        <v/>
      </c>
    </row>
    <row r="600" spans="8:13" x14ac:dyDescent="0.3">
      <c r="H600" t="str">
        <f t="shared" si="39"/>
        <v/>
      </c>
      <c r="I600" t="str">
        <f>IFERROR(VLOOKUP(H600,List!A:B, 2, FALSE), "")</f>
        <v/>
      </c>
      <c r="K600" t="str">
        <f t="shared" si="36"/>
        <v/>
      </c>
      <c r="L600" t="str">
        <f t="shared" si="37"/>
        <v/>
      </c>
      <c r="M600" t="str">
        <f t="shared" si="38"/>
        <v/>
      </c>
    </row>
    <row r="601" spans="8:13" x14ac:dyDescent="0.3">
      <c r="H601" t="str">
        <f t="shared" si="39"/>
        <v/>
      </c>
      <c r="I601" t="str">
        <f>IFERROR(VLOOKUP(H601,List!A:B, 2, FALSE), "")</f>
        <v/>
      </c>
      <c r="K601" t="str">
        <f t="shared" si="36"/>
        <v/>
      </c>
      <c r="L601" t="str">
        <f t="shared" si="37"/>
        <v/>
      </c>
      <c r="M601" t="str">
        <f t="shared" si="38"/>
        <v/>
      </c>
    </row>
    <row r="602" spans="8:13" x14ac:dyDescent="0.3">
      <c r="H602" t="str">
        <f t="shared" si="39"/>
        <v/>
      </c>
      <c r="I602" t="str">
        <f>IFERROR(VLOOKUP(H602,List!A:B, 2, FALSE), "")</f>
        <v/>
      </c>
      <c r="K602" t="str">
        <f t="shared" si="36"/>
        <v/>
      </c>
      <c r="L602" t="str">
        <f t="shared" si="37"/>
        <v/>
      </c>
      <c r="M602" t="str">
        <f t="shared" si="38"/>
        <v/>
      </c>
    </row>
    <row r="603" spans="8:13" x14ac:dyDescent="0.3">
      <c r="H603" t="str">
        <f t="shared" si="39"/>
        <v/>
      </c>
      <c r="I603" t="str">
        <f>IFERROR(VLOOKUP(H603,List!A:B, 2, FALSE), "")</f>
        <v/>
      </c>
      <c r="K603" t="str">
        <f t="shared" si="36"/>
        <v/>
      </c>
      <c r="L603" t="str">
        <f t="shared" si="37"/>
        <v/>
      </c>
      <c r="M603" t="str">
        <f t="shared" si="38"/>
        <v/>
      </c>
    </row>
    <row r="604" spans="8:13" x14ac:dyDescent="0.3">
      <c r="H604" t="str">
        <f t="shared" si="39"/>
        <v/>
      </c>
      <c r="I604" t="str">
        <f>IFERROR(VLOOKUP(H604,List!A:B, 2, FALSE), "")</f>
        <v/>
      </c>
      <c r="K604" t="str">
        <f t="shared" si="36"/>
        <v/>
      </c>
      <c r="L604" t="str">
        <f t="shared" si="37"/>
        <v/>
      </c>
      <c r="M604" t="str">
        <f t="shared" si="38"/>
        <v/>
      </c>
    </row>
    <row r="605" spans="8:13" x14ac:dyDescent="0.3">
      <c r="H605" t="str">
        <f t="shared" si="39"/>
        <v/>
      </c>
      <c r="I605" t="str">
        <f>IFERROR(VLOOKUP(H605,List!A:B, 2, FALSE), "")</f>
        <v/>
      </c>
      <c r="K605" t="str">
        <f t="shared" si="36"/>
        <v/>
      </c>
      <c r="L605" t="str">
        <f t="shared" si="37"/>
        <v/>
      </c>
      <c r="M605" t="str">
        <f t="shared" si="38"/>
        <v/>
      </c>
    </row>
    <row r="606" spans="8:13" x14ac:dyDescent="0.3">
      <c r="H606" t="str">
        <f t="shared" si="39"/>
        <v/>
      </c>
      <c r="I606" t="str">
        <f>IFERROR(VLOOKUP(H606,List!A:B, 2, FALSE), "")</f>
        <v/>
      </c>
      <c r="K606" t="str">
        <f t="shared" si="36"/>
        <v/>
      </c>
      <c r="L606" t="str">
        <f t="shared" si="37"/>
        <v/>
      </c>
      <c r="M606" t="str">
        <f t="shared" si="38"/>
        <v/>
      </c>
    </row>
    <row r="607" spans="8:13" x14ac:dyDescent="0.3">
      <c r="H607" t="str">
        <f t="shared" si="39"/>
        <v/>
      </c>
      <c r="I607" t="str">
        <f>IFERROR(VLOOKUP(H607,List!A:B, 2, FALSE), "")</f>
        <v/>
      </c>
      <c r="K607" t="str">
        <f t="shared" si="36"/>
        <v/>
      </c>
      <c r="L607" t="str">
        <f t="shared" si="37"/>
        <v/>
      </c>
      <c r="M607" t="str">
        <f t="shared" si="38"/>
        <v/>
      </c>
    </row>
    <row r="608" spans="8:13" x14ac:dyDescent="0.3">
      <c r="H608" t="str">
        <f t="shared" si="39"/>
        <v/>
      </c>
      <c r="I608" t="str">
        <f>IFERROR(VLOOKUP(H608,List!A:B, 2, FALSE), "")</f>
        <v/>
      </c>
      <c r="K608" t="str">
        <f t="shared" si="36"/>
        <v/>
      </c>
      <c r="L608" t="str">
        <f t="shared" si="37"/>
        <v/>
      </c>
      <c r="M608" t="str">
        <f t="shared" si="38"/>
        <v/>
      </c>
    </row>
    <row r="609" spans="8:13" x14ac:dyDescent="0.3">
      <c r="H609" t="str">
        <f t="shared" si="39"/>
        <v/>
      </c>
      <c r="I609" t="str">
        <f>IFERROR(VLOOKUP(H609,List!A:B, 2, FALSE), "")</f>
        <v/>
      </c>
      <c r="K609" t="str">
        <f t="shared" si="36"/>
        <v/>
      </c>
      <c r="L609" t="str">
        <f t="shared" si="37"/>
        <v/>
      </c>
      <c r="M609" t="str">
        <f t="shared" si="38"/>
        <v/>
      </c>
    </row>
    <row r="610" spans="8:13" x14ac:dyDescent="0.3">
      <c r="H610" t="str">
        <f t="shared" si="39"/>
        <v/>
      </c>
      <c r="I610" t="str">
        <f>IFERROR(VLOOKUP(H610,List!A:B, 2, FALSE), "")</f>
        <v/>
      </c>
      <c r="K610" t="str">
        <f t="shared" si="36"/>
        <v/>
      </c>
      <c r="L610" t="str">
        <f t="shared" si="37"/>
        <v/>
      </c>
      <c r="M610" t="str">
        <f t="shared" si="38"/>
        <v/>
      </c>
    </row>
    <row r="611" spans="8:13" x14ac:dyDescent="0.3">
      <c r="H611" t="str">
        <f t="shared" si="39"/>
        <v/>
      </c>
      <c r="I611" t="str">
        <f>IFERROR(VLOOKUP(H611,List!A:B, 2, FALSE), "")</f>
        <v/>
      </c>
      <c r="K611" t="str">
        <f t="shared" si="36"/>
        <v/>
      </c>
      <c r="L611" t="str">
        <f t="shared" si="37"/>
        <v/>
      </c>
      <c r="M611" t="str">
        <f t="shared" si="38"/>
        <v/>
      </c>
    </row>
    <row r="612" spans="8:13" x14ac:dyDescent="0.3">
      <c r="H612" t="str">
        <f t="shared" si="39"/>
        <v/>
      </c>
      <c r="I612" t="str">
        <f>IFERROR(VLOOKUP(H612,List!A:B, 2, FALSE), "")</f>
        <v/>
      </c>
      <c r="K612" t="str">
        <f t="shared" si="36"/>
        <v/>
      </c>
      <c r="L612" t="str">
        <f t="shared" si="37"/>
        <v/>
      </c>
      <c r="M612" t="str">
        <f t="shared" si="38"/>
        <v/>
      </c>
    </row>
    <row r="613" spans="8:13" x14ac:dyDescent="0.3">
      <c r="H613" t="str">
        <f t="shared" si="39"/>
        <v/>
      </c>
      <c r="I613" t="str">
        <f>IFERROR(VLOOKUP(H613,List!A:B, 2, FALSE), "")</f>
        <v/>
      </c>
      <c r="K613" t="str">
        <f t="shared" si="36"/>
        <v/>
      </c>
      <c r="L613" t="str">
        <f t="shared" si="37"/>
        <v/>
      </c>
      <c r="M613" t="str">
        <f t="shared" si="38"/>
        <v/>
      </c>
    </row>
    <row r="614" spans="8:13" x14ac:dyDescent="0.3">
      <c r="H614" t="str">
        <f t="shared" si="39"/>
        <v/>
      </c>
      <c r="I614" t="str">
        <f>IFERROR(VLOOKUP(H614,List!A:B, 2, FALSE), "")</f>
        <v/>
      </c>
      <c r="K614" t="str">
        <f t="shared" si="36"/>
        <v/>
      </c>
      <c r="L614" t="str">
        <f t="shared" si="37"/>
        <v/>
      </c>
      <c r="M614" t="str">
        <f t="shared" si="38"/>
        <v/>
      </c>
    </row>
    <row r="615" spans="8:13" x14ac:dyDescent="0.3">
      <c r="H615" t="str">
        <f t="shared" si="39"/>
        <v/>
      </c>
      <c r="I615" t="str">
        <f>IFERROR(VLOOKUP(H615,List!A:B, 2, FALSE), "")</f>
        <v/>
      </c>
      <c r="K615" t="str">
        <f t="shared" si="36"/>
        <v/>
      </c>
      <c r="L615" t="str">
        <f t="shared" si="37"/>
        <v/>
      </c>
      <c r="M615" t="str">
        <f t="shared" si="38"/>
        <v/>
      </c>
    </row>
    <row r="616" spans="8:13" x14ac:dyDescent="0.3">
      <c r="H616" t="str">
        <f t="shared" si="39"/>
        <v/>
      </c>
      <c r="I616" t="str">
        <f>IFERROR(VLOOKUP(H616,List!A:B, 2, FALSE), "")</f>
        <v/>
      </c>
      <c r="K616" t="str">
        <f t="shared" si="36"/>
        <v/>
      </c>
      <c r="L616" t="str">
        <f t="shared" si="37"/>
        <v/>
      </c>
      <c r="M616" t="str">
        <f t="shared" si="38"/>
        <v/>
      </c>
    </row>
    <row r="617" spans="8:13" x14ac:dyDescent="0.3">
      <c r="H617" t="str">
        <f t="shared" si="39"/>
        <v/>
      </c>
      <c r="I617" t="str">
        <f>IFERROR(VLOOKUP(H617,List!A:B, 2, FALSE), "")</f>
        <v/>
      </c>
      <c r="K617" t="str">
        <f t="shared" si="36"/>
        <v/>
      </c>
      <c r="L617" t="str">
        <f t="shared" si="37"/>
        <v/>
      </c>
      <c r="M617" t="str">
        <f t="shared" si="38"/>
        <v/>
      </c>
    </row>
    <row r="618" spans="8:13" x14ac:dyDescent="0.3">
      <c r="H618" t="str">
        <f t="shared" si="39"/>
        <v/>
      </c>
      <c r="I618" t="str">
        <f>IFERROR(VLOOKUP(H618,List!A:B, 2, FALSE), "")</f>
        <v/>
      </c>
      <c r="K618" t="str">
        <f t="shared" si="36"/>
        <v/>
      </c>
      <c r="L618" t="str">
        <f t="shared" si="37"/>
        <v/>
      </c>
      <c r="M618" t="str">
        <f t="shared" si="38"/>
        <v/>
      </c>
    </row>
    <row r="619" spans="8:13" x14ac:dyDescent="0.3">
      <c r="H619" t="str">
        <f t="shared" si="39"/>
        <v/>
      </c>
      <c r="I619" t="str">
        <f>IFERROR(VLOOKUP(H619,List!A:B, 2, FALSE), "")</f>
        <v/>
      </c>
      <c r="K619" t="str">
        <f t="shared" si="36"/>
        <v/>
      </c>
      <c r="L619" t="str">
        <f t="shared" si="37"/>
        <v/>
      </c>
      <c r="M619" t="str">
        <f t="shared" si="38"/>
        <v/>
      </c>
    </row>
    <row r="620" spans="8:13" x14ac:dyDescent="0.3">
      <c r="H620" t="str">
        <f t="shared" si="39"/>
        <v/>
      </c>
      <c r="I620" t="str">
        <f>IFERROR(VLOOKUP(H620,List!A:B, 2, FALSE), "")</f>
        <v/>
      </c>
      <c r="K620" t="str">
        <f t="shared" si="36"/>
        <v/>
      </c>
      <c r="L620" t="str">
        <f t="shared" si="37"/>
        <v/>
      </c>
      <c r="M620" t="str">
        <f t="shared" si="38"/>
        <v/>
      </c>
    </row>
    <row r="621" spans="8:13" x14ac:dyDescent="0.3">
      <c r="H621" t="str">
        <f t="shared" si="39"/>
        <v/>
      </c>
      <c r="I621" t="str">
        <f>IFERROR(VLOOKUP(H621,List!A:B, 2, FALSE), "")</f>
        <v/>
      </c>
      <c r="K621" t="str">
        <f t="shared" si="36"/>
        <v/>
      </c>
      <c r="L621" t="str">
        <f t="shared" si="37"/>
        <v/>
      </c>
      <c r="M621" t="str">
        <f t="shared" si="38"/>
        <v/>
      </c>
    </row>
    <row r="622" spans="8:13" x14ac:dyDescent="0.3">
      <c r="H622" t="str">
        <f t="shared" si="39"/>
        <v/>
      </c>
      <c r="I622" t="str">
        <f>IFERROR(VLOOKUP(H622,List!A:B, 2, FALSE), "")</f>
        <v/>
      </c>
      <c r="K622" t="str">
        <f t="shared" si="36"/>
        <v/>
      </c>
      <c r="L622" t="str">
        <f t="shared" si="37"/>
        <v/>
      </c>
      <c r="M622" t="str">
        <f t="shared" si="38"/>
        <v/>
      </c>
    </row>
    <row r="623" spans="8:13" x14ac:dyDescent="0.3">
      <c r="H623" t="str">
        <f t="shared" si="39"/>
        <v/>
      </c>
      <c r="I623" t="str">
        <f>IFERROR(VLOOKUP(H623,List!A:B, 2, FALSE), "")</f>
        <v/>
      </c>
      <c r="K623" t="str">
        <f t="shared" si="36"/>
        <v/>
      </c>
      <c r="L623" t="str">
        <f t="shared" si="37"/>
        <v/>
      </c>
      <c r="M623" t="str">
        <f t="shared" si="38"/>
        <v/>
      </c>
    </row>
    <row r="624" spans="8:13" x14ac:dyDescent="0.3">
      <c r="H624" t="str">
        <f t="shared" si="39"/>
        <v/>
      </c>
      <c r="I624" t="str">
        <f>IFERROR(VLOOKUP(H624,List!A:B, 2, FALSE), "")</f>
        <v/>
      </c>
      <c r="K624" t="str">
        <f t="shared" si="36"/>
        <v/>
      </c>
      <c r="L624" t="str">
        <f t="shared" si="37"/>
        <v/>
      </c>
      <c r="M624" t="str">
        <f t="shared" si="38"/>
        <v/>
      </c>
    </row>
    <row r="625" spans="8:13" x14ac:dyDescent="0.3">
      <c r="H625" t="str">
        <f t="shared" si="39"/>
        <v/>
      </c>
      <c r="I625" t="str">
        <f>IFERROR(VLOOKUP(H625,List!A:B, 2, FALSE), "")</f>
        <v/>
      </c>
      <c r="K625" t="str">
        <f t="shared" si="36"/>
        <v/>
      </c>
      <c r="L625" t="str">
        <f t="shared" si="37"/>
        <v/>
      </c>
      <c r="M625" t="str">
        <f t="shared" si="38"/>
        <v/>
      </c>
    </row>
    <row r="626" spans="8:13" x14ac:dyDescent="0.3">
      <c r="H626" t="str">
        <f t="shared" si="39"/>
        <v/>
      </c>
      <c r="I626" t="str">
        <f>IFERROR(VLOOKUP(H626,List!A:B, 2, FALSE), "")</f>
        <v/>
      </c>
      <c r="K626" t="str">
        <f t="shared" si="36"/>
        <v/>
      </c>
      <c r="L626" t="str">
        <f t="shared" si="37"/>
        <v/>
      </c>
      <c r="M626" t="str">
        <f t="shared" si="38"/>
        <v/>
      </c>
    </row>
    <row r="627" spans="8:13" x14ac:dyDescent="0.3">
      <c r="H627" t="str">
        <f t="shared" si="39"/>
        <v/>
      </c>
      <c r="I627" t="str">
        <f>IFERROR(VLOOKUP(H627,List!A:B, 2, FALSE), "")</f>
        <v/>
      </c>
      <c r="K627" t="str">
        <f t="shared" si="36"/>
        <v/>
      </c>
      <c r="L627" t="str">
        <f t="shared" si="37"/>
        <v/>
      </c>
      <c r="M627" t="str">
        <f t="shared" si="38"/>
        <v/>
      </c>
    </row>
    <row r="628" spans="8:13" x14ac:dyDescent="0.3">
      <c r="H628" t="str">
        <f t="shared" si="39"/>
        <v/>
      </c>
      <c r="I628" t="str">
        <f>IFERROR(VLOOKUP(H628,List!A:B, 2, FALSE), "")</f>
        <v/>
      </c>
      <c r="K628" t="str">
        <f t="shared" si="36"/>
        <v/>
      </c>
      <c r="L628" t="str">
        <f t="shared" si="37"/>
        <v/>
      </c>
      <c r="M628" t="str">
        <f t="shared" si="38"/>
        <v/>
      </c>
    </row>
    <row r="629" spans="8:13" x14ac:dyDescent="0.3">
      <c r="H629" t="str">
        <f t="shared" si="39"/>
        <v/>
      </c>
      <c r="I629" t="str">
        <f>IFERROR(VLOOKUP(H629,List!A:B, 2, FALSE), "")</f>
        <v/>
      </c>
      <c r="K629" t="str">
        <f t="shared" si="36"/>
        <v/>
      </c>
      <c r="L629" t="str">
        <f t="shared" si="37"/>
        <v/>
      </c>
      <c r="M629" t="str">
        <f t="shared" si="38"/>
        <v/>
      </c>
    </row>
    <row r="630" spans="8:13" x14ac:dyDescent="0.3">
      <c r="H630" t="str">
        <f t="shared" si="39"/>
        <v/>
      </c>
      <c r="I630" t="str">
        <f>IFERROR(VLOOKUP(H630,List!A:B, 2, FALSE), "")</f>
        <v/>
      </c>
      <c r="K630" t="str">
        <f t="shared" si="36"/>
        <v/>
      </c>
      <c r="L630" t="str">
        <f t="shared" si="37"/>
        <v/>
      </c>
      <c r="M630" t="str">
        <f t="shared" si="38"/>
        <v/>
      </c>
    </row>
    <row r="631" spans="8:13" x14ac:dyDescent="0.3">
      <c r="H631" t="str">
        <f t="shared" si="39"/>
        <v/>
      </c>
      <c r="I631" t="str">
        <f>IFERROR(VLOOKUP(H631,List!A:B, 2, FALSE), "")</f>
        <v/>
      </c>
      <c r="K631" t="str">
        <f t="shared" si="36"/>
        <v/>
      </c>
      <c r="L631" t="str">
        <f t="shared" si="37"/>
        <v/>
      </c>
      <c r="M631" t="str">
        <f t="shared" si="38"/>
        <v/>
      </c>
    </row>
    <row r="632" spans="8:13" x14ac:dyDescent="0.3">
      <c r="H632" t="str">
        <f t="shared" si="39"/>
        <v/>
      </c>
      <c r="I632" t="str">
        <f>IFERROR(VLOOKUP(H632,List!A:B, 2, FALSE), "")</f>
        <v/>
      </c>
      <c r="K632" t="str">
        <f t="shared" si="36"/>
        <v/>
      </c>
      <c r="L632" t="str">
        <f t="shared" si="37"/>
        <v/>
      </c>
      <c r="M632" t="str">
        <f t="shared" si="38"/>
        <v/>
      </c>
    </row>
    <row r="633" spans="8:13" x14ac:dyDescent="0.3">
      <c r="H633" t="str">
        <f t="shared" si="39"/>
        <v/>
      </c>
      <c r="I633" t="str">
        <f>IFERROR(VLOOKUP(H633,List!A:B, 2, FALSE), "")</f>
        <v/>
      </c>
      <c r="K633" t="str">
        <f t="shared" si="36"/>
        <v/>
      </c>
      <c r="L633" t="str">
        <f t="shared" si="37"/>
        <v/>
      </c>
      <c r="M633" t="str">
        <f t="shared" si="38"/>
        <v/>
      </c>
    </row>
    <row r="634" spans="8:13" x14ac:dyDescent="0.3">
      <c r="H634" t="str">
        <f t="shared" si="39"/>
        <v/>
      </c>
      <c r="I634" t="str">
        <f>IFERROR(VLOOKUP(H634,List!A:B, 2, FALSE), "")</f>
        <v/>
      </c>
      <c r="K634" t="str">
        <f t="shared" si="36"/>
        <v/>
      </c>
      <c r="L634" t="str">
        <f t="shared" si="37"/>
        <v/>
      </c>
      <c r="M634" t="str">
        <f t="shared" si="38"/>
        <v/>
      </c>
    </row>
    <row r="635" spans="8:13" x14ac:dyDescent="0.3">
      <c r="H635" t="str">
        <f t="shared" si="39"/>
        <v/>
      </c>
      <c r="I635" t="str">
        <f>IFERROR(VLOOKUP(H635,List!A:B, 2, FALSE), "")</f>
        <v/>
      </c>
      <c r="K635" t="str">
        <f t="shared" si="36"/>
        <v/>
      </c>
      <c r="L635" t="str">
        <f t="shared" si="37"/>
        <v/>
      </c>
      <c r="M635" t="str">
        <f t="shared" si="38"/>
        <v/>
      </c>
    </row>
    <row r="636" spans="8:13" x14ac:dyDescent="0.3">
      <c r="H636" t="str">
        <f t="shared" si="39"/>
        <v/>
      </c>
      <c r="I636" t="str">
        <f>IFERROR(VLOOKUP(H636,List!A:B, 2, FALSE), "")</f>
        <v/>
      </c>
      <c r="K636" t="str">
        <f t="shared" si="36"/>
        <v/>
      </c>
      <c r="L636" t="str">
        <f t="shared" si="37"/>
        <v/>
      </c>
      <c r="M636" t="str">
        <f t="shared" si="38"/>
        <v/>
      </c>
    </row>
    <row r="637" spans="8:13" x14ac:dyDescent="0.3">
      <c r="H637" t="str">
        <f t="shared" si="39"/>
        <v/>
      </c>
      <c r="I637" t="str">
        <f>IFERROR(VLOOKUP(H637,List!A:B, 2, FALSE), "")</f>
        <v/>
      </c>
      <c r="K637" t="str">
        <f t="shared" si="36"/>
        <v/>
      </c>
      <c r="L637" t="str">
        <f t="shared" si="37"/>
        <v/>
      </c>
      <c r="M637" t="str">
        <f t="shared" si="38"/>
        <v/>
      </c>
    </row>
    <row r="638" spans="8:13" x14ac:dyDescent="0.3">
      <c r="H638" t="str">
        <f t="shared" si="39"/>
        <v/>
      </c>
      <c r="I638" t="str">
        <f>IFERROR(VLOOKUP(H638,List!A:B, 2, FALSE), "")</f>
        <v/>
      </c>
      <c r="K638" t="str">
        <f t="shared" si="36"/>
        <v/>
      </c>
      <c r="L638" t="str">
        <f t="shared" si="37"/>
        <v/>
      </c>
      <c r="M638" t="str">
        <f t="shared" si="38"/>
        <v/>
      </c>
    </row>
    <row r="639" spans="8:13" x14ac:dyDescent="0.3">
      <c r="H639" t="str">
        <f t="shared" si="39"/>
        <v/>
      </c>
      <c r="I639" t="str">
        <f>IFERROR(VLOOKUP(H639,List!A:B, 2, FALSE), "")</f>
        <v/>
      </c>
      <c r="K639" t="str">
        <f t="shared" si="36"/>
        <v/>
      </c>
      <c r="L639" t="str">
        <f t="shared" si="37"/>
        <v/>
      </c>
      <c r="M639" t="str">
        <f t="shared" si="38"/>
        <v/>
      </c>
    </row>
    <row r="640" spans="8:13" x14ac:dyDescent="0.3">
      <c r="H640" t="str">
        <f t="shared" si="39"/>
        <v/>
      </c>
      <c r="I640" t="str">
        <f>IFERROR(VLOOKUP(H640,List!A:B, 2, FALSE), "")</f>
        <v/>
      </c>
      <c r="K640" t="str">
        <f t="shared" si="36"/>
        <v/>
      </c>
      <c r="L640" t="str">
        <f t="shared" si="37"/>
        <v/>
      </c>
      <c r="M640" t="str">
        <f t="shared" si="38"/>
        <v/>
      </c>
    </row>
    <row r="641" spans="8:13" x14ac:dyDescent="0.3">
      <c r="H641" t="str">
        <f t="shared" si="39"/>
        <v/>
      </c>
      <c r="I641" t="str">
        <f>IFERROR(VLOOKUP(H641,List!A:B, 2, FALSE), "")</f>
        <v/>
      </c>
      <c r="K641" t="str">
        <f t="shared" si="36"/>
        <v/>
      </c>
      <c r="L641" t="str">
        <f t="shared" si="37"/>
        <v/>
      </c>
      <c r="M641" t="str">
        <f t="shared" si="38"/>
        <v/>
      </c>
    </row>
    <row r="642" spans="8:13" x14ac:dyDescent="0.3">
      <c r="H642" t="str">
        <f t="shared" si="39"/>
        <v/>
      </c>
      <c r="I642" t="str">
        <f>IFERROR(VLOOKUP(H642,List!A:B, 2, FALSE), "")</f>
        <v/>
      </c>
      <c r="K642" t="str">
        <f t="shared" si="36"/>
        <v/>
      </c>
      <c r="L642" t="str">
        <f t="shared" si="37"/>
        <v/>
      </c>
      <c r="M642" t="str">
        <f t="shared" si="38"/>
        <v/>
      </c>
    </row>
    <row r="643" spans="8:13" x14ac:dyDescent="0.3">
      <c r="H643" t="str">
        <f t="shared" si="39"/>
        <v/>
      </c>
      <c r="I643" t="str">
        <f>IFERROR(VLOOKUP(H643,List!A:B, 2, FALSE), "")</f>
        <v/>
      </c>
      <c r="K643" t="str">
        <f t="shared" ref="K643:K706" si="40">SUBSTITUTE(SUBSTITUTE(SUBSTITUTE(SUBSTITUTE(C643,"-",""),"+",""),"p:","")," ","")</f>
        <v/>
      </c>
      <c r="L643" t="str">
        <f t="shared" ref="L643:L706" si="41">K643</f>
        <v/>
      </c>
      <c r="M643" t="str">
        <f t="shared" ref="M643:M706" si="42">IF(LEFT(L643, 2) = "91", RIGHT(L643, LEN(L643) - 2),
 IF(LEFT(L643, 3) = "971", RIGHT(L643, LEN(L643) - 3),
  IF(LEFT(L643, 2) = "92", RIGHT(L643, LEN(L643) - 2),
   IF(LEFT(L643, 3) = "974", RIGHT(L643, LEN(L643) - 3),
    IF(LEFT(L643, 2) = "60", RIGHT(L643, LEN(L643) - 2),
     IF(LEFT(L643, 2) = "65", RIGHT(L643, LEN(L643) - 2),
      IF(LEFT(L643, 3) = "966", RIGHT(L643, LEN(L643) - 3),
       IF(LEFT(L643, 3) = "967", RIGHT(L643, LEN(L643) - 3),
        IF(LEFT(L643, 3) = "968", RIGHT(L643, LEN(L643) - 3),
         IF(LEFT(L643, 3) = "249", RIGHT(L643, LEN(L643) - 3),
          IF(LEFT(L643, 3) = "213", RIGHT(L643, LEN(L643) - 3),
           IF(LEFT(L643, 3) = "965", RIGHT(L643, LEN(L643) - 3),
            IF(LEFT(L643, 3) = "1", RIGHT(L643, LEN(L643) - 1),
             IF(LEFT(L643, 3) = "973", RIGHT(L643, LEN(L643) - 3),
              IF(LEFT(L643, 3) = "233", RIGHT(L643, LEN(L643) - 3),
               IF(LEFT(L643, 3) = "977", RIGHT(L643, LEN(L643) - 3),
                IF(LEFT(L643, 2) = "20", RIGHT(L643, LEN(L643) - 2),
                 L643
                )
               )
              )
             )
            )
           )
          )
         )
        )
       )
      )
     )
    )
   )
  )
 )
)</f>
        <v/>
      </c>
    </row>
    <row r="644" spans="8:13" x14ac:dyDescent="0.3">
      <c r="H644" t="str">
        <f t="shared" si="39"/>
        <v/>
      </c>
      <c r="I644" t="str">
        <f>IFERROR(VLOOKUP(H644,List!A:B, 2, FALSE), "")</f>
        <v/>
      </c>
      <c r="K644" t="str">
        <f t="shared" si="40"/>
        <v/>
      </c>
      <c r="L644" t="str">
        <f t="shared" si="41"/>
        <v/>
      </c>
      <c r="M644" t="str">
        <f t="shared" si="42"/>
        <v/>
      </c>
    </row>
    <row r="645" spans="8:13" x14ac:dyDescent="0.3">
      <c r="H645" t="str">
        <f t="shared" si="39"/>
        <v/>
      </c>
      <c r="I645" t="str">
        <f>IFERROR(VLOOKUP(H645,List!A:B, 2, FALSE), "")</f>
        <v/>
      </c>
      <c r="K645" t="str">
        <f t="shared" si="40"/>
        <v/>
      </c>
      <c r="L645" t="str">
        <f t="shared" si="41"/>
        <v/>
      </c>
      <c r="M645" t="str">
        <f t="shared" si="42"/>
        <v/>
      </c>
    </row>
    <row r="646" spans="8:13" x14ac:dyDescent="0.3">
      <c r="H646" t="str">
        <f t="shared" si="39"/>
        <v/>
      </c>
      <c r="I646" t="str">
        <f>IFERROR(VLOOKUP(H646,List!A:B, 2, FALSE), "")</f>
        <v/>
      </c>
      <c r="K646" t="str">
        <f t="shared" si="40"/>
        <v/>
      </c>
      <c r="L646" t="str">
        <f t="shared" si="41"/>
        <v/>
      </c>
      <c r="M646" t="str">
        <f t="shared" si="42"/>
        <v/>
      </c>
    </row>
    <row r="647" spans="8:13" x14ac:dyDescent="0.3">
      <c r="H647" t="str">
        <f t="shared" ref="H647:H710" si="43">IF(N647=0,"","")</f>
        <v/>
      </c>
      <c r="I647" t="str">
        <f>IFERROR(VLOOKUP(H647,List!A:B, 2, FALSE), "")</f>
        <v/>
      </c>
      <c r="K647" t="str">
        <f t="shared" si="40"/>
        <v/>
      </c>
      <c r="L647" t="str">
        <f t="shared" si="41"/>
        <v/>
      </c>
      <c r="M647" t="str">
        <f t="shared" si="42"/>
        <v/>
      </c>
    </row>
    <row r="648" spans="8:13" x14ac:dyDescent="0.3">
      <c r="H648" t="str">
        <f t="shared" si="43"/>
        <v/>
      </c>
      <c r="I648" t="str">
        <f>IFERROR(VLOOKUP(H648,List!A:B, 2, FALSE), "")</f>
        <v/>
      </c>
      <c r="K648" t="str">
        <f t="shared" si="40"/>
        <v/>
      </c>
      <c r="L648" t="str">
        <f t="shared" si="41"/>
        <v/>
      </c>
      <c r="M648" t="str">
        <f t="shared" si="42"/>
        <v/>
      </c>
    </row>
    <row r="649" spans="8:13" x14ac:dyDescent="0.3">
      <c r="H649" t="str">
        <f t="shared" si="43"/>
        <v/>
      </c>
      <c r="I649" t="str">
        <f>IFERROR(VLOOKUP(H649,List!A:B, 2, FALSE), "")</f>
        <v/>
      </c>
      <c r="K649" t="str">
        <f t="shared" si="40"/>
        <v/>
      </c>
      <c r="L649" t="str">
        <f t="shared" si="41"/>
        <v/>
      </c>
      <c r="M649" t="str">
        <f t="shared" si="42"/>
        <v/>
      </c>
    </row>
    <row r="650" spans="8:13" x14ac:dyDescent="0.3">
      <c r="H650" t="str">
        <f t="shared" si="43"/>
        <v/>
      </c>
      <c r="I650" t="str">
        <f>IFERROR(VLOOKUP(H650,List!A:B, 2, FALSE), "")</f>
        <v/>
      </c>
      <c r="K650" t="str">
        <f t="shared" si="40"/>
        <v/>
      </c>
      <c r="L650" t="str">
        <f t="shared" si="41"/>
        <v/>
      </c>
      <c r="M650" t="str">
        <f t="shared" si="42"/>
        <v/>
      </c>
    </row>
    <row r="651" spans="8:13" x14ac:dyDescent="0.3">
      <c r="H651" t="str">
        <f t="shared" si="43"/>
        <v/>
      </c>
      <c r="I651" t="str">
        <f>IFERROR(VLOOKUP(H651,List!A:B, 2, FALSE), "")</f>
        <v/>
      </c>
      <c r="K651" t="str">
        <f t="shared" si="40"/>
        <v/>
      </c>
      <c r="L651" t="str">
        <f t="shared" si="41"/>
        <v/>
      </c>
      <c r="M651" t="str">
        <f t="shared" si="42"/>
        <v/>
      </c>
    </row>
    <row r="652" spans="8:13" x14ac:dyDescent="0.3">
      <c r="H652" t="str">
        <f t="shared" si="43"/>
        <v/>
      </c>
      <c r="I652" t="str">
        <f>IFERROR(VLOOKUP(H652,List!A:B, 2, FALSE), "")</f>
        <v/>
      </c>
      <c r="K652" t="str">
        <f t="shared" si="40"/>
        <v/>
      </c>
      <c r="L652" t="str">
        <f t="shared" si="41"/>
        <v/>
      </c>
      <c r="M652" t="str">
        <f t="shared" si="42"/>
        <v/>
      </c>
    </row>
    <row r="653" spans="8:13" x14ac:dyDescent="0.3">
      <c r="H653" t="str">
        <f t="shared" si="43"/>
        <v/>
      </c>
      <c r="I653" t="str">
        <f>IFERROR(VLOOKUP(H653,List!A:B, 2, FALSE), "")</f>
        <v/>
      </c>
      <c r="K653" t="str">
        <f t="shared" si="40"/>
        <v/>
      </c>
      <c r="L653" t="str">
        <f t="shared" si="41"/>
        <v/>
      </c>
      <c r="M653" t="str">
        <f t="shared" si="42"/>
        <v/>
      </c>
    </row>
    <row r="654" spans="8:13" x14ac:dyDescent="0.3">
      <c r="H654" t="str">
        <f t="shared" si="43"/>
        <v/>
      </c>
      <c r="I654" t="str">
        <f>IFERROR(VLOOKUP(H654,List!A:B, 2, FALSE), "")</f>
        <v/>
      </c>
      <c r="K654" t="str">
        <f t="shared" si="40"/>
        <v/>
      </c>
      <c r="L654" t="str">
        <f t="shared" si="41"/>
        <v/>
      </c>
      <c r="M654" t="str">
        <f t="shared" si="42"/>
        <v/>
      </c>
    </row>
    <row r="655" spans="8:13" x14ac:dyDescent="0.3">
      <c r="H655" t="str">
        <f t="shared" si="43"/>
        <v/>
      </c>
      <c r="I655" t="str">
        <f>IFERROR(VLOOKUP(H655,List!A:B, 2, FALSE), "")</f>
        <v/>
      </c>
      <c r="K655" t="str">
        <f t="shared" si="40"/>
        <v/>
      </c>
      <c r="L655" t="str">
        <f t="shared" si="41"/>
        <v/>
      </c>
      <c r="M655" t="str">
        <f t="shared" si="42"/>
        <v/>
      </c>
    </row>
    <row r="656" spans="8:13" x14ac:dyDescent="0.3">
      <c r="H656" t="str">
        <f t="shared" si="43"/>
        <v/>
      </c>
      <c r="I656" t="str">
        <f>IFERROR(VLOOKUP(H656,List!A:B, 2, FALSE), "")</f>
        <v/>
      </c>
      <c r="K656" t="str">
        <f t="shared" si="40"/>
        <v/>
      </c>
      <c r="L656" t="str">
        <f t="shared" si="41"/>
        <v/>
      </c>
      <c r="M656" t="str">
        <f t="shared" si="42"/>
        <v/>
      </c>
    </row>
    <row r="657" spans="8:13" x14ac:dyDescent="0.3">
      <c r="H657" t="str">
        <f t="shared" si="43"/>
        <v/>
      </c>
      <c r="I657" t="str">
        <f>IFERROR(VLOOKUP(H657,List!A:B, 2, FALSE), "")</f>
        <v/>
      </c>
      <c r="K657" t="str">
        <f t="shared" si="40"/>
        <v/>
      </c>
      <c r="L657" t="str">
        <f t="shared" si="41"/>
        <v/>
      </c>
      <c r="M657" t="str">
        <f t="shared" si="42"/>
        <v/>
      </c>
    </row>
    <row r="658" spans="8:13" x14ac:dyDescent="0.3">
      <c r="H658" t="str">
        <f t="shared" si="43"/>
        <v/>
      </c>
      <c r="I658" t="str">
        <f>IFERROR(VLOOKUP(H658,List!A:B, 2, FALSE), "")</f>
        <v/>
      </c>
      <c r="K658" t="str">
        <f t="shared" si="40"/>
        <v/>
      </c>
      <c r="L658" t="str">
        <f t="shared" si="41"/>
        <v/>
      </c>
      <c r="M658" t="str">
        <f t="shared" si="42"/>
        <v/>
      </c>
    </row>
    <row r="659" spans="8:13" x14ac:dyDescent="0.3">
      <c r="H659" t="str">
        <f t="shared" si="43"/>
        <v/>
      </c>
      <c r="I659" t="str">
        <f>IFERROR(VLOOKUP(H659,List!A:B, 2, FALSE), "")</f>
        <v/>
      </c>
      <c r="K659" t="str">
        <f t="shared" si="40"/>
        <v/>
      </c>
      <c r="L659" t="str">
        <f t="shared" si="41"/>
        <v/>
      </c>
      <c r="M659" t="str">
        <f t="shared" si="42"/>
        <v/>
      </c>
    </row>
    <row r="660" spans="8:13" x14ac:dyDescent="0.3">
      <c r="H660" t="str">
        <f t="shared" si="43"/>
        <v/>
      </c>
      <c r="I660" t="str">
        <f>IFERROR(VLOOKUP(H660,List!A:B, 2, FALSE), "")</f>
        <v/>
      </c>
      <c r="K660" t="str">
        <f t="shared" si="40"/>
        <v/>
      </c>
      <c r="L660" t="str">
        <f t="shared" si="41"/>
        <v/>
      </c>
      <c r="M660" t="str">
        <f t="shared" si="42"/>
        <v/>
      </c>
    </row>
    <row r="661" spans="8:13" x14ac:dyDescent="0.3">
      <c r="H661" t="str">
        <f t="shared" si="43"/>
        <v/>
      </c>
      <c r="I661" t="str">
        <f>IFERROR(VLOOKUP(H661,List!A:B, 2, FALSE), "")</f>
        <v/>
      </c>
      <c r="K661" t="str">
        <f t="shared" si="40"/>
        <v/>
      </c>
      <c r="L661" t="str">
        <f t="shared" si="41"/>
        <v/>
      </c>
      <c r="M661" t="str">
        <f t="shared" si="42"/>
        <v/>
      </c>
    </row>
    <row r="662" spans="8:13" x14ac:dyDescent="0.3">
      <c r="H662" t="str">
        <f t="shared" si="43"/>
        <v/>
      </c>
      <c r="I662" t="str">
        <f>IFERROR(VLOOKUP(H662,List!A:B, 2, FALSE), "")</f>
        <v/>
      </c>
      <c r="K662" t="str">
        <f t="shared" si="40"/>
        <v/>
      </c>
      <c r="L662" t="str">
        <f t="shared" si="41"/>
        <v/>
      </c>
      <c r="M662" t="str">
        <f t="shared" si="42"/>
        <v/>
      </c>
    </row>
    <row r="663" spans="8:13" x14ac:dyDescent="0.3">
      <c r="H663" t="str">
        <f t="shared" si="43"/>
        <v/>
      </c>
      <c r="I663" t="str">
        <f>IFERROR(VLOOKUP(H663,List!A:B, 2, FALSE), "")</f>
        <v/>
      </c>
      <c r="K663" t="str">
        <f t="shared" si="40"/>
        <v/>
      </c>
      <c r="L663" t="str">
        <f t="shared" si="41"/>
        <v/>
      </c>
      <c r="M663" t="str">
        <f t="shared" si="42"/>
        <v/>
      </c>
    </row>
    <row r="664" spans="8:13" x14ac:dyDescent="0.3">
      <c r="H664" t="str">
        <f t="shared" si="43"/>
        <v/>
      </c>
      <c r="I664" t="str">
        <f>IFERROR(VLOOKUP(H664,List!A:B, 2, FALSE), "")</f>
        <v/>
      </c>
      <c r="K664" t="str">
        <f t="shared" si="40"/>
        <v/>
      </c>
      <c r="L664" t="str">
        <f t="shared" si="41"/>
        <v/>
      </c>
      <c r="M664" t="str">
        <f t="shared" si="42"/>
        <v/>
      </c>
    </row>
    <row r="665" spans="8:13" x14ac:dyDescent="0.3">
      <c r="H665" t="str">
        <f t="shared" si="43"/>
        <v/>
      </c>
      <c r="I665" t="str">
        <f>IFERROR(VLOOKUP(H665,List!A:B, 2, FALSE), "")</f>
        <v/>
      </c>
      <c r="K665" t="str">
        <f t="shared" si="40"/>
        <v/>
      </c>
      <c r="L665" t="str">
        <f t="shared" si="41"/>
        <v/>
      </c>
      <c r="M665" t="str">
        <f t="shared" si="42"/>
        <v/>
      </c>
    </row>
    <row r="666" spans="8:13" x14ac:dyDescent="0.3">
      <c r="H666" t="str">
        <f t="shared" si="43"/>
        <v/>
      </c>
      <c r="I666" t="str">
        <f>IFERROR(VLOOKUP(H666,List!A:B, 2, FALSE), "")</f>
        <v/>
      </c>
      <c r="K666" t="str">
        <f t="shared" si="40"/>
        <v/>
      </c>
      <c r="L666" t="str">
        <f t="shared" si="41"/>
        <v/>
      </c>
      <c r="M666" t="str">
        <f t="shared" si="42"/>
        <v/>
      </c>
    </row>
    <row r="667" spans="8:13" x14ac:dyDescent="0.3">
      <c r="H667" t="str">
        <f t="shared" si="43"/>
        <v/>
      </c>
      <c r="I667" t="str">
        <f>IFERROR(VLOOKUP(H667,List!A:B, 2, FALSE), "")</f>
        <v/>
      </c>
      <c r="K667" t="str">
        <f t="shared" si="40"/>
        <v/>
      </c>
      <c r="L667" t="str">
        <f t="shared" si="41"/>
        <v/>
      </c>
      <c r="M667" t="str">
        <f t="shared" si="42"/>
        <v/>
      </c>
    </row>
    <row r="668" spans="8:13" x14ac:dyDescent="0.3">
      <c r="H668" t="str">
        <f t="shared" si="43"/>
        <v/>
      </c>
      <c r="I668" t="str">
        <f>IFERROR(VLOOKUP(H668,List!A:B, 2, FALSE), "")</f>
        <v/>
      </c>
      <c r="K668" t="str">
        <f t="shared" si="40"/>
        <v/>
      </c>
      <c r="L668" t="str">
        <f t="shared" si="41"/>
        <v/>
      </c>
      <c r="M668" t="str">
        <f t="shared" si="42"/>
        <v/>
      </c>
    </row>
    <row r="669" spans="8:13" x14ac:dyDescent="0.3">
      <c r="H669" t="str">
        <f t="shared" si="43"/>
        <v/>
      </c>
      <c r="I669" t="str">
        <f>IFERROR(VLOOKUP(H669,List!A:B, 2, FALSE), "")</f>
        <v/>
      </c>
      <c r="K669" t="str">
        <f t="shared" si="40"/>
        <v/>
      </c>
      <c r="L669" t="str">
        <f t="shared" si="41"/>
        <v/>
      </c>
      <c r="M669" t="str">
        <f t="shared" si="42"/>
        <v/>
      </c>
    </row>
    <row r="670" spans="8:13" x14ac:dyDescent="0.3">
      <c r="H670" t="str">
        <f t="shared" si="43"/>
        <v/>
      </c>
      <c r="I670" t="str">
        <f>IFERROR(VLOOKUP(H670,List!A:B, 2, FALSE), "")</f>
        <v/>
      </c>
      <c r="K670" t="str">
        <f t="shared" si="40"/>
        <v/>
      </c>
      <c r="L670" t="str">
        <f t="shared" si="41"/>
        <v/>
      </c>
      <c r="M670" t="str">
        <f t="shared" si="42"/>
        <v/>
      </c>
    </row>
    <row r="671" spans="8:13" x14ac:dyDescent="0.3">
      <c r="H671" t="str">
        <f t="shared" si="43"/>
        <v/>
      </c>
      <c r="I671" t="str">
        <f>IFERROR(VLOOKUP(H671,List!A:B, 2, FALSE), "")</f>
        <v/>
      </c>
      <c r="K671" t="str">
        <f t="shared" si="40"/>
        <v/>
      </c>
      <c r="L671" t="str">
        <f t="shared" si="41"/>
        <v/>
      </c>
      <c r="M671" t="str">
        <f t="shared" si="42"/>
        <v/>
      </c>
    </row>
    <row r="672" spans="8:13" x14ac:dyDescent="0.3">
      <c r="H672" t="str">
        <f t="shared" si="43"/>
        <v/>
      </c>
      <c r="I672" t="str">
        <f>IFERROR(VLOOKUP(H672,List!A:B, 2, FALSE), "")</f>
        <v/>
      </c>
      <c r="K672" t="str">
        <f t="shared" si="40"/>
        <v/>
      </c>
      <c r="L672" t="str">
        <f t="shared" si="41"/>
        <v/>
      </c>
      <c r="M672" t="str">
        <f t="shared" si="42"/>
        <v/>
      </c>
    </row>
    <row r="673" spans="8:13" x14ac:dyDescent="0.3">
      <c r="H673" t="str">
        <f t="shared" si="43"/>
        <v/>
      </c>
      <c r="I673" t="str">
        <f>IFERROR(VLOOKUP(H673,List!A:B, 2, FALSE), "")</f>
        <v/>
      </c>
      <c r="K673" t="str">
        <f t="shared" si="40"/>
        <v/>
      </c>
      <c r="L673" t="str">
        <f t="shared" si="41"/>
        <v/>
      </c>
      <c r="M673" t="str">
        <f t="shared" si="42"/>
        <v/>
      </c>
    </row>
    <row r="674" spans="8:13" x14ac:dyDescent="0.3">
      <c r="H674" t="str">
        <f t="shared" si="43"/>
        <v/>
      </c>
      <c r="I674" t="str">
        <f>IFERROR(VLOOKUP(H674,List!A:B, 2, FALSE), "")</f>
        <v/>
      </c>
      <c r="K674" t="str">
        <f t="shared" si="40"/>
        <v/>
      </c>
      <c r="L674" t="str">
        <f t="shared" si="41"/>
        <v/>
      </c>
      <c r="M674" t="str">
        <f t="shared" si="42"/>
        <v/>
      </c>
    </row>
    <row r="675" spans="8:13" x14ac:dyDescent="0.3">
      <c r="H675" t="str">
        <f t="shared" si="43"/>
        <v/>
      </c>
      <c r="I675" t="str">
        <f>IFERROR(VLOOKUP(H675,List!A:B, 2, FALSE), "")</f>
        <v/>
      </c>
      <c r="K675" t="str">
        <f t="shared" si="40"/>
        <v/>
      </c>
      <c r="L675" t="str">
        <f t="shared" si="41"/>
        <v/>
      </c>
      <c r="M675" t="str">
        <f t="shared" si="42"/>
        <v/>
      </c>
    </row>
    <row r="676" spans="8:13" x14ac:dyDescent="0.3">
      <c r="H676" t="str">
        <f t="shared" si="43"/>
        <v/>
      </c>
      <c r="I676" t="str">
        <f>IFERROR(VLOOKUP(H676,List!A:B, 2, FALSE), "")</f>
        <v/>
      </c>
      <c r="K676" t="str">
        <f t="shared" si="40"/>
        <v/>
      </c>
      <c r="L676" t="str">
        <f t="shared" si="41"/>
        <v/>
      </c>
      <c r="M676" t="str">
        <f t="shared" si="42"/>
        <v/>
      </c>
    </row>
    <row r="677" spans="8:13" x14ac:dyDescent="0.3">
      <c r="H677" t="str">
        <f t="shared" si="43"/>
        <v/>
      </c>
      <c r="I677" t="str">
        <f>IFERROR(VLOOKUP(H677,List!A:B, 2, FALSE), "")</f>
        <v/>
      </c>
      <c r="K677" t="str">
        <f t="shared" si="40"/>
        <v/>
      </c>
      <c r="L677" t="str">
        <f t="shared" si="41"/>
        <v/>
      </c>
      <c r="M677" t="str">
        <f t="shared" si="42"/>
        <v/>
      </c>
    </row>
    <row r="678" spans="8:13" x14ac:dyDescent="0.3">
      <c r="H678" t="str">
        <f t="shared" si="43"/>
        <v/>
      </c>
      <c r="I678" t="str">
        <f>IFERROR(VLOOKUP(H678,List!A:B, 2, FALSE), "")</f>
        <v/>
      </c>
      <c r="K678" t="str">
        <f t="shared" si="40"/>
        <v/>
      </c>
      <c r="L678" t="str">
        <f t="shared" si="41"/>
        <v/>
      </c>
      <c r="M678" t="str">
        <f t="shared" si="42"/>
        <v/>
      </c>
    </row>
    <row r="679" spans="8:13" x14ac:dyDescent="0.3">
      <c r="H679" t="str">
        <f t="shared" si="43"/>
        <v/>
      </c>
      <c r="I679" t="str">
        <f>IFERROR(VLOOKUP(H679,List!A:B, 2, FALSE), "")</f>
        <v/>
      </c>
      <c r="K679" t="str">
        <f t="shared" si="40"/>
        <v/>
      </c>
      <c r="L679" t="str">
        <f t="shared" si="41"/>
        <v/>
      </c>
      <c r="M679" t="str">
        <f t="shared" si="42"/>
        <v/>
      </c>
    </row>
    <row r="680" spans="8:13" x14ac:dyDescent="0.3">
      <c r="H680" t="str">
        <f t="shared" si="43"/>
        <v/>
      </c>
      <c r="I680" t="str">
        <f>IFERROR(VLOOKUP(H680,List!A:B, 2, FALSE), "")</f>
        <v/>
      </c>
      <c r="K680" t="str">
        <f t="shared" si="40"/>
        <v/>
      </c>
      <c r="L680" t="str">
        <f t="shared" si="41"/>
        <v/>
      </c>
      <c r="M680" t="str">
        <f t="shared" si="42"/>
        <v/>
      </c>
    </row>
    <row r="681" spans="8:13" x14ac:dyDescent="0.3">
      <c r="H681" t="str">
        <f t="shared" si="43"/>
        <v/>
      </c>
      <c r="I681" t="str">
        <f>IFERROR(VLOOKUP(H681,List!A:B, 2, FALSE), "")</f>
        <v/>
      </c>
      <c r="K681" t="str">
        <f t="shared" si="40"/>
        <v/>
      </c>
      <c r="L681" t="str">
        <f t="shared" si="41"/>
        <v/>
      </c>
      <c r="M681" t="str">
        <f t="shared" si="42"/>
        <v/>
      </c>
    </row>
    <row r="682" spans="8:13" x14ac:dyDescent="0.3">
      <c r="H682" t="str">
        <f t="shared" si="43"/>
        <v/>
      </c>
      <c r="I682" t="str">
        <f>IFERROR(VLOOKUP(H682,List!A:B, 2, FALSE), "")</f>
        <v/>
      </c>
      <c r="K682" t="str">
        <f t="shared" si="40"/>
        <v/>
      </c>
      <c r="L682" t="str">
        <f t="shared" si="41"/>
        <v/>
      </c>
      <c r="M682" t="str">
        <f t="shared" si="42"/>
        <v/>
      </c>
    </row>
    <row r="683" spans="8:13" x14ac:dyDescent="0.3">
      <c r="H683" t="str">
        <f t="shared" si="43"/>
        <v/>
      </c>
      <c r="I683" t="str">
        <f>IFERROR(VLOOKUP(H683,List!A:B, 2, FALSE), "")</f>
        <v/>
      </c>
      <c r="K683" t="str">
        <f t="shared" si="40"/>
        <v/>
      </c>
      <c r="L683" t="str">
        <f t="shared" si="41"/>
        <v/>
      </c>
      <c r="M683" t="str">
        <f t="shared" si="42"/>
        <v/>
      </c>
    </row>
    <row r="684" spans="8:13" x14ac:dyDescent="0.3">
      <c r="H684" t="str">
        <f t="shared" si="43"/>
        <v/>
      </c>
      <c r="I684" t="str">
        <f>IFERROR(VLOOKUP(H684,List!A:B, 2, FALSE), "")</f>
        <v/>
      </c>
      <c r="K684" t="str">
        <f t="shared" si="40"/>
        <v/>
      </c>
      <c r="L684" t="str">
        <f t="shared" si="41"/>
        <v/>
      </c>
      <c r="M684" t="str">
        <f t="shared" si="42"/>
        <v/>
      </c>
    </row>
    <row r="685" spans="8:13" x14ac:dyDescent="0.3">
      <c r="H685" t="str">
        <f t="shared" si="43"/>
        <v/>
      </c>
      <c r="I685" t="str">
        <f>IFERROR(VLOOKUP(H685,List!A:B, 2, FALSE), "")</f>
        <v/>
      </c>
      <c r="K685" t="str">
        <f t="shared" si="40"/>
        <v/>
      </c>
      <c r="L685" t="str">
        <f t="shared" si="41"/>
        <v/>
      </c>
      <c r="M685" t="str">
        <f t="shared" si="42"/>
        <v/>
      </c>
    </row>
    <row r="686" spans="8:13" x14ac:dyDescent="0.3">
      <c r="H686" t="str">
        <f t="shared" si="43"/>
        <v/>
      </c>
      <c r="I686" t="str">
        <f>IFERROR(VLOOKUP(H686,List!A:B, 2, FALSE), "")</f>
        <v/>
      </c>
      <c r="K686" t="str">
        <f t="shared" si="40"/>
        <v/>
      </c>
      <c r="L686" t="str">
        <f t="shared" si="41"/>
        <v/>
      </c>
      <c r="M686" t="str">
        <f t="shared" si="42"/>
        <v/>
      </c>
    </row>
    <row r="687" spans="8:13" x14ac:dyDescent="0.3">
      <c r="H687" t="str">
        <f t="shared" si="43"/>
        <v/>
      </c>
      <c r="I687" t="str">
        <f>IFERROR(VLOOKUP(H687,List!A:B, 2, FALSE), "")</f>
        <v/>
      </c>
      <c r="K687" t="str">
        <f t="shared" si="40"/>
        <v/>
      </c>
      <c r="L687" t="str">
        <f t="shared" si="41"/>
        <v/>
      </c>
      <c r="M687" t="str">
        <f t="shared" si="42"/>
        <v/>
      </c>
    </row>
    <row r="688" spans="8:13" x14ac:dyDescent="0.3">
      <c r="H688" t="str">
        <f t="shared" si="43"/>
        <v/>
      </c>
      <c r="I688" t="str">
        <f>IFERROR(VLOOKUP(H688,List!A:B, 2, FALSE), "")</f>
        <v/>
      </c>
      <c r="K688" t="str">
        <f t="shared" si="40"/>
        <v/>
      </c>
      <c r="L688" t="str">
        <f t="shared" si="41"/>
        <v/>
      </c>
      <c r="M688" t="str">
        <f t="shared" si="42"/>
        <v/>
      </c>
    </row>
    <row r="689" spans="8:13" x14ac:dyDescent="0.3">
      <c r="H689" t="str">
        <f t="shared" si="43"/>
        <v/>
      </c>
      <c r="I689" t="str">
        <f>IFERROR(VLOOKUP(H689,List!A:B, 2, FALSE), "")</f>
        <v/>
      </c>
      <c r="K689" t="str">
        <f t="shared" si="40"/>
        <v/>
      </c>
      <c r="L689" t="str">
        <f t="shared" si="41"/>
        <v/>
      </c>
      <c r="M689" t="str">
        <f t="shared" si="42"/>
        <v/>
      </c>
    </row>
    <row r="690" spans="8:13" x14ac:dyDescent="0.3">
      <c r="H690" t="str">
        <f t="shared" si="43"/>
        <v/>
      </c>
      <c r="I690" t="str">
        <f>IFERROR(VLOOKUP(H690,List!A:B, 2, FALSE), "")</f>
        <v/>
      </c>
      <c r="K690" t="str">
        <f t="shared" si="40"/>
        <v/>
      </c>
      <c r="L690" t="str">
        <f t="shared" si="41"/>
        <v/>
      </c>
      <c r="M690" t="str">
        <f t="shared" si="42"/>
        <v/>
      </c>
    </row>
    <row r="691" spans="8:13" x14ac:dyDescent="0.3">
      <c r="H691" t="str">
        <f t="shared" si="43"/>
        <v/>
      </c>
      <c r="I691" t="str">
        <f>IFERROR(VLOOKUP(H691,List!A:B, 2, FALSE), "")</f>
        <v/>
      </c>
      <c r="K691" t="str">
        <f t="shared" si="40"/>
        <v/>
      </c>
      <c r="L691" t="str">
        <f t="shared" si="41"/>
        <v/>
      </c>
      <c r="M691" t="str">
        <f t="shared" si="42"/>
        <v/>
      </c>
    </row>
    <row r="692" spans="8:13" x14ac:dyDescent="0.3">
      <c r="H692" t="str">
        <f t="shared" si="43"/>
        <v/>
      </c>
      <c r="I692" t="str">
        <f>IFERROR(VLOOKUP(H692,List!A:B, 2, FALSE), "")</f>
        <v/>
      </c>
      <c r="K692" t="str">
        <f t="shared" si="40"/>
        <v/>
      </c>
      <c r="L692" t="str">
        <f t="shared" si="41"/>
        <v/>
      </c>
      <c r="M692" t="str">
        <f t="shared" si="42"/>
        <v/>
      </c>
    </row>
    <row r="693" spans="8:13" x14ac:dyDescent="0.3">
      <c r="H693" t="str">
        <f t="shared" si="43"/>
        <v/>
      </c>
      <c r="I693" t="str">
        <f>IFERROR(VLOOKUP(H693,List!A:B, 2, FALSE), "")</f>
        <v/>
      </c>
      <c r="K693" t="str">
        <f t="shared" si="40"/>
        <v/>
      </c>
      <c r="L693" t="str">
        <f t="shared" si="41"/>
        <v/>
      </c>
      <c r="M693" t="str">
        <f t="shared" si="42"/>
        <v/>
      </c>
    </row>
    <row r="694" spans="8:13" x14ac:dyDescent="0.3">
      <c r="H694" t="str">
        <f t="shared" si="43"/>
        <v/>
      </c>
      <c r="I694" t="str">
        <f>IFERROR(VLOOKUP(H694,List!A:B, 2, FALSE), "")</f>
        <v/>
      </c>
      <c r="K694" t="str">
        <f t="shared" si="40"/>
        <v/>
      </c>
      <c r="L694" t="str">
        <f t="shared" si="41"/>
        <v/>
      </c>
      <c r="M694" t="str">
        <f t="shared" si="42"/>
        <v/>
      </c>
    </row>
    <row r="695" spans="8:13" x14ac:dyDescent="0.3">
      <c r="H695" t="str">
        <f t="shared" si="43"/>
        <v/>
      </c>
      <c r="I695" t="str">
        <f>IFERROR(VLOOKUP(H695,List!A:B, 2, FALSE), "")</f>
        <v/>
      </c>
      <c r="K695" t="str">
        <f t="shared" si="40"/>
        <v/>
      </c>
      <c r="L695" t="str">
        <f t="shared" si="41"/>
        <v/>
      </c>
      <c r="M695" t="str">
        <f t="shared" si="42"/>
        <v/>
      </c>
    </row>
    <row r="696" spans="8:13" x14ac:dyDescent="0.3">
      <c r="H696" t="str">
        <f t="shared" si="43"/>
        <v/>
      </c>
      <c r="I696" t="str">
        <f>IFERROR(VLOOKUP(H696,List!A:B, 2, FALSE), "")</f>
        <v/>
      </c>
      <c r="K696" t="str">
        <f t="shared" si="40"/>
        <v/>
      </c>
      <c r="L696" t="str">
        <f t="shared" si="41"/>
        <v/>
      </c>
      <c r="M696" t="str">
        <f t="shared" si="42"/>
        <v/>
      </c>
    </row>
    <row r="697" spans="8:13" x14ac:dyDescent="0.3">
      <c r="H697" t="str">
        <f t="shared" si="43"/>
        <v/>
      </c>
      <c r="I697" t="str">
        <f>IFERROR(VLOOKUP(H697,List!A:B, 2, FALSE), "")</f>
        <v/>
      </c>
      <c r="K697" t="str">
        <f t="shared" si="40"/>
        <v/>
      </c>
      <c r="L697" t="str">
        <f t="shared" si="41"/>
        <v/>
      </c>
      <c r="M697" t="str">
        <f t="shared" si="42"/>
        <v/>
      </c>
    </row>
    <row r="698" spans="8:13" x14ac:dyDescent="0.3">
      <c r="H698" t="str">
        <f t="shared" si="43"/>
        <v/>
      </c>
      <c r="I698" t="str">
        <f>IFERROR(VLOOKUP(H698,List!A:B, 2, FALSE), "")</f>
        <v/>
      </c>
      <c r="K698" t="str">
        <f t="shared" si="40"/>
        <v/>
      </c>
      <c r="L698" t="str">
        <f t="shared" si="41"/>
        <v/>
      </c>
      <c r="M698" t="str">
        <f t="shared" si="42"/>
        <v/>
      </c>
    </row>
    <row r="699" spans="8:13" x14ac:dyDescent="0.3">
      <c r="H699" t="str">
        <f t="shared" si="43"/>
        <v/>
      </c>
      <c r="I699" t="str">
        <f>IFERROR(VLOOKUP(H699,List!A:B, 2, FALSE), "")</f>
        <v/>
      </c>
      <c r="K699" t="str">
        <f t="shared" si="40"/>
        <v/>
      </c>
      <c r="L699" t="str">
        <f t="shared" si="41"/>
        <v/>
      </c>
      <c r="M699" t="str">
        <f t="shared" si="42"/>
        <v/>
      </c>
    </row>
    <row r="700" spans="8:13" x14ac:dyDescent="0.3">
      <c r="H700" t="str">
        <f t="shared" si="43"/>
        <v/>
      </c>
      <c r="I700" t="str">
        <f>IFERROR(VLOOKUP(H700,List!A:B, 2, FALSE), "")</f>
        <v/>
      </c>
      <c r="K700" t="str">
        <f t="shared" si="40"/>
        <v/>
      </c>
      <c r="L700" t="str">
        <f t="shared" si="41"/>
        <v/>
      </c>
      <c r="M700" t="str">
        <f t="shared" si="42"/>
        <v/>
      </c>
    </row>
    <row r="701" spans="8:13" x14ac:dyDescent="0.3">
      <c r="H701" t="str">
        <f t="shared" si="43"/>
        <v/>
      </c>
      <c r="I701" t="str">
        <f>IFERROR(VLOOKUP(H701,List!A:B, 2, FALSE), "")</f>
        <v/>
      </c>
      <c r="K701" t="str">
        <f t="shared" si="40"/>
        <v/>
      </c>
      <c r="L701" t="str">
        <f t="shared" si="41"/>
        <v/>
      </c>
      <c r="M701" t="str">
        <f t="shared" si="42"/>
        <v/>
      </c>
    </row>
    <row r="702" spans="8:13" x14ac:dyDescent="0.3">
      <c r="H702" t="str">
        <f t="shared" si="43"/>
        <v/>
      </c>
      <c r="I702" t="str">
        <f>IFERROR(VLOOKUP(H702,List!A:B, 2, FALSE), "")</f>
        <v/>
      </c>
      <c r="K702" t="str">
        <f t="shared" si="40"/>
        <v/>
      </c>
      <c r="L702" t="str">
        <f t="shared" si="41"/>
        <v/>
      </c>
      <c r="M702" t="str">
        <f t="shared" si="42"/>
        <v/>
      </c>
    </row>
    <row r="703" spans="8:13" x14ac:dyDescent="0.3">
      <c r="H703" t="str">
        <f t="shared" si="43"/>
        <v/>
      </c>
      <c r="I703" t="str">
        <f>IFERROR(VLOOKUP(H703,List!A:B, 2, FALSE), "")</f>
        <v/>
      </c>
      <c r="K703" t="str">
        <f t="shared" si="40"/>
        <v/>
      </c>
      <c r="L703" t="str">
        <f t="shared" si="41"/>
        <v/>
      </c>
      <c r="M703" t="str">
        <f t="shared" si="42"/>
        <v/>
      </c>
    </row>
    <row r="704" spans="8:13" x14ac:dyDescent="0.3">
      <c r="H704" t="str">
        <f t="shared" si="43"/>
        <v/>
      </c>
      <c r="I704" t="str">
        <f>IFERROR(VLOOKUP(H704,List!A:B, 2, FALSE), "")</f>
        <v/>
      </c>
      <c r="K704" t="str">
        <f t="shared" si="40"/>
        <v/>
      </c>
      <c r="L704" t="str">
        <f t="shared" si="41"/>
        <v/>
      </c>
      <c r="M704" t="str">
        <f t="shared" si="42"/>
        <v/>
      </c>
    </row>
    <row r="705" spans="8:13" x14ac:dyDescent="0.3">
      <c r="H705" t="str">
        <f t="shared" si="43"/>
        <v/>
      </c>
      <c r="I705" t="str">
        <f>IFERROR(VLOOKUP(H705,List!A:B, 2, FALSE), "")</f>
        <v/>
      </c>
      <c r="K705" t="str">
        <f t="shared" si="40"/>
        <v/>
      </c>
      <c r="L705" t="str">
        <f t="shared" si="41"/>
        <v/>
      </c>
      <c r="M705" t="str">
        <f t="shared" si="42"/>
        <v/>
      </c>
    </row>
    <row r="706" spans="8:13" x14ac:dyDescent="0.3">
      <c r="H706" t="str">
        <f t="shared" si="43"/>
        <v/>
      </c>
      <c r="I706" t="str">
        <f>IFERROR(VLOOKUP(H706,List!A:B, 2, FALSE), "")</f>
        <v/>
      </c>
      <c r="K706" t="str">
        <f t="shared" si="40"/>
        <v/>
      </c>
      <c r="L706" t="str">
        <f t="shared" si="41"/>
        <v/>
      </c>
      <c r="M706" t="str">
        <f t="shared" si="42"/>
        <v/>
      </c>
    </row>
    <row r="707" spans="8:13" x14ac:dyDescent="0.3">
      <c r="H707" t="str">
        <f t="shared" si="43"/>
        <v/>
      </c>
      <c r="I707" t="str">
        <f>IFERROR(VLOOKUP(H707,List!A:B, 2, FALSE), "")</f>
        <v/>
      </c>
      <c r="K707" t="str">
        <f t="shared" ref="K707:K770" si="44">SUBSTITUTE(SUBSTITUTE(SUBSTITUTE(SUBSTITUTE(C707,"-",""),"+",""),"p:","")," ","")</f>
        <v/>
      </c>
      <c r="L707" t="str">
        <f t="shared" ref="L707:L770" si="45">K707</f>
        <v/>
      </c>
      <c r="M707" t="str">
        <f t="shared" ref="M707:M770" si="46">IF(LEFT(L707, 2) = "91", RIGHT(L707, LEN(L707) - 2),
 IF(LEFT(L707, 3) = "971", RIGHT(L707, LEN(L707) - 3),
  IF(LEFT(L707, 2) = "92", RIGHT(L707, LEN(L707) - 2),
   IF(LEFT(L707, 3) = "974", RIGHT(L707, LEN(L707) - 3),
    IF(LEFT(L707, 2) = "60", RIGHT(L707, LEN(L707) - 2),
     IF(LEFT(L707, 2) = "65", RIGHT(L707, LEN(L707) - 2),
      IF(LEFT(L707, 3) = "966", RIGHT(L707, LEN(L707) - 3),
       IF(LEFT(L707, 3) = "967", RIGHT(L707, LEN(L707) - 3),
        IF(LEFT(L707, 3) = "968", RIGHT(L707, LEN(L707) - 3),
         IF(LEFT(L707, 3) = "249", RIGHT(L707, LEN(L707) - 3),
          IF(LEFT(L707, 3) = "213", RIGHT(L707, LEN(L707) - 3),
           IF(LEFT(L707, 3) = "965", RIGHT(L707, LEN(L707) - 3),
            IF(LEFT(L707, 3) = "1", RIGHT(L707, LEN(L707) - 1),
             IF(LEFT(L707, 3) = "973", RIGHT(L707, LEN(L707) - 3),
              IF(LEFT(L707, 3) = "233", RIGHT(L707, LEN(L707) - 3),
               IF(LEFT(L707, 3) = "977", RIGHT(L707, LEN(L707) - 3),
                IF(LEFT(L707, 2) = "20", RIGHT(L707, LEN(L707) - 2),
                 L707
                )
               )
              )
             )
            )
           )
          )
         )
        )
       )
      )
     )
    )
   )
  )
 )
)</f>
        <v/>
      </c>
    </row>
    <row r="708" spans="8:13" x14ac:dyDescent="0.3">
      <c r="H708" t="str">
        <f t="shared" si="43"/>
        <v/>
      </c>
      <c r="I708" t="str">
        <f>IFERROR(VLOOKUP(H708,List!A:B, 2, FALSE), "")</f>
        <v/>
      </c>
      <c r="K708" t="str">
        <f t="shared" si="44"/>
        <v/>
      </c>
      <c r="L708" t="str">
        <f t="shared" si="45"/>
        <v/>
      </c>
      <c r="M708" t="str">
        <f t="shared" si="46"/>
        <v/>
      </c>
    </row>
    <row r="709" spans="8:13" x14ac:dyDescent="0.3">
      <c r="H709" t="str">
        <f t="shared" si="43"/>
        <v/>
      </c>
      <c r="I709" t="str">
        <f>IFERROR(VLOOKUP(H709,List!A:B, 2, FALSE), "")</f>
        <v/>
      </c>
      <c r="K709" t="str">
        <f t="shared" si="44"/>
        <v/>
      </c>
      <c r="L709" t="str">
        <f t="shared" si="45"/>
        <v/>
      </c>
      <c r="M709" t="str">
        <f t="shared" si="46"/>
        <v/>
      </c>
    </row>
    <row r="710" spans="8:13" x14ac:dyDescent="0.3">
      <c r="H710" t="str">
        <f t="shared" si="43"/>
        <v/>
      </c>
      <c r="I710" t="str">
        <f>IFERROR(VLOOKUP(H710,List!A:B, 2, FALSE), "")</f>
        <v/>
      </c>
      <c r="K710" t="str">
        <f t="shared" si="44"/>
        <v/>
      </c>
      <c r="L710" t="str">
        <f t="shared" si="45"/>
        <v/>
      </c>
      <c r="M710" t="str">
        <f t="shared" si="46"/>
        <v/>
      </c>
    </row>
    <row r="711" spans="8:13" x14ac:dyDescent="0.3">
      <c r="H711" t="str">
        <f t="shared" ref="H711:H774" si="47">IF(N711=0,"","")</f>
        <v/>
      </c>
      <c r="I711" t="str">
        <f>IFERROR(VLOOKUP(H711,List!A:B, 2, FALSE), "")</f>
        <v/>
      </c>
      <c r="K711" t="str">
        <f t="shared" si="44"/>
        <v/>
      </c>
      <c r="L711" t="str">
        <f t="shared" si="45"/>
        <v/>
      </c>
      <c r="M711" t="str">
        <f t="shared" si="46"/>
        <v/>
      </c>
    </row>
    <row r="712" spans="8:13" x14ac:dyDescent="0.3">
      <c r="H712" t="str">
        <f t="shared" si="47"/>
        <v/>
      </c>
      <c r="I712" t="str">
        <f>IFERROR(VLOOKUP(H712,List!A:B, 2, FALSE), "")</f>
        <v/>
      </c>
      <c r="K712" t="str">
        <f t="shared" si="44"/>
        <v/>
      </c>
      <c r="L712" t="str">
        <f t="shared" si="45"/>
        <v/>
      </c>
      <c r="M712" t="str">
        <f t="shared" si="46"/>
        <v/>
      </c>
    </row>
    <row r="713" spans="8:13" x14ac:dyDescent="0.3">
      <c r="H713" t="str">
        <f t="shared" si="47"/>
        <v/>
      </c>
      <c r="I713" t="str">
        <f>IFERROR(VLOOKUP(H713,List!A:B, 2, FALSE), "")</f>
        <v/>
      </c>
      <c r="K713" t="str">
        <f t="shared" si="44"/>
        <v/>
      </c>
      <c r="L713" t="str">
        <f t="shared" si="45"/>
        <v/>
      </c>
      <c r="M713" t="str">
        <f t="shared" si="46"/>
        <v/>
      </c>
    </row>
    <row r="714" spans="8:13" x14ac:dyDescent="0.3">
      <c r="H714" t="str">
        <f t="shared" si="47"/>
        <v/>
      </c>
      <c r="I714" t="str">
        <f>IFERROR(VLOOKUP(H714,List!A:B, 2, FALSE), "")</f>
        <v/>
      </c>
      <c r="K714" t="str">
        <f t="shared" si="44"/>
        <v/>
      </c>
      <c r="L714" t="str">
        <f t="shared" si="45"/>
        <v/>
      </c>
      <c r="M714" t="str">
        <f t="shared" si="46"/>
        <v/>
      </c>
    </row>
    <row r="715" spans="8:13" x14ac:dyDescent="0.3">
      <c r="H715" t="str">
        <f t="shared" si="47"/>
        <v/>
      </c>
      <c r="I715" t="str">
        <f>IFERROR(VLOOKUP(H715,List!A:B, 2, FALSE), "")</f>
        <v/>
      </c>
      <c r="K715" t="str">
        <f t="shared" si="44"/>
        <v/>
      </c>
      <c r="L715" t="str">
        <f t="shared" si="45"/>
        <v/>
      </c>
      <c r="M715" t="str">
        <f t="shared" si="46"/>
        <v/>
      </c>
    </row>
    <row r="716" spans="8:13" x14ac:dyDescent="0.3">
      <c r="H716" t="str">
        <f t="shared" si="47"/>
        <v/>
      </c>
      <c r="I716" t="str">
        <f>IFERROR(VLOOKUP(H716,List!A:B, 2, FALSE), "")</f>
        <v/>
      </c>
      <c r="K716" t="str">
        <f t="shared" si="44"/>
        <v/>
      </c>
      <c r="L716" t="str">
        <f t="shared" si="45"/>
        <v/>
      </c>
      <c r="M716" t="str">
        <f t="shared" si="46"/>
        <v/>
      </c>
    </row>
    <row r="717" spans="8:13" x14ac:dyDescent="0.3">
      <c r="H717" t="str">
        <f t="shared" si="47"/>
        <v/>
      </c>
      <c r="I717" t="str">
        <f>IFERROR(VLOOKUP(H717,List!A:B, 2, FALSE), "")</f>
        <v/>
      </c>
      <c r="K717" t="str">
        <f t="shared" si="44"/>
        <v/>
      </c>
      <c r="L717" t="str">
        <f t="shared" si="45"/>
        <v/>
      </c>
      <c r="M717" t="str">
        <f t="shared" si="46"/>
        <v/>
      </c>
    </row>
    <row r="718" spans="8:13" x14ac:dyDescent="0.3">
      <c r="H718" t="str">
        <f t="shared" si="47"/>
        <v/>
      </c>
      <c r="I718" t="str">
        <f>IFERROR(VLOOKUP(H718,List!A:B, 2, FALSE), "")</f>
        <v/>
      </c>
      <c r="K718" t="str">
        <f t="shared" si="44"/>
        <v/>
      </c>
      <c r="L718" t="str">
        <f t="shared" si="45"/>
        <v/>
      </c>
      <c r="M718" t="str">
        <f t="shared" si="46"/>
        <v/>
      </c>
    </row>
    <row r="719" spans="8:13" x14ac:dyDescent="0.3">
      <c r="H719" t="str">
        <f t="shared" si="47"/>
        <v/>
      </c>
      <c r="I719" t="str">
        <f>IFERROR(VLOOKUP(H719,List!A:B, 2, FALSE), "")</f>
        <v/>
      </c>
      <c r="K719" t="str">
        <f t="shared" si="44"/>
        <v/>
      </c>
      <c r="L719" t="str">
        <f t="shared" si="45"/>
        <v/>
      </c>
      <c r="M719" t="str">
        <f t="shared" si="46"/>
        <v/>
      </c>
    </row>
    <row r="720" spans="8:13" x14ac:dyDescent="0.3">
      <c r="H720" t="str">
        <f t="shared" si="47"/>
        <v/>
      </c>
      <c r="I720" t="str">
        <f>IFERROR(VLOOKUP(H720,List!A:B, 2, FALSE), "")</f>
        <v/>
      </c>
      <c r="K720" t="str">
        <f t="shared" si="44"/>
        <v/>
      </c>
      <c r="L720" t="str">
        <f t="shared" si="45"/>
        <v/>
      </c>
      <c r="M720" t="str">
        <f t="shared" si="46"/>
        <v/>
      </c>
    </row>
    <row r="721" spans="8:13" x14ac:dyDescent="0.3">
      <c r="H721" t="str">
        <f t="shared" si="47"/>
        <v/>
      </c>
      <c r="I721" t="str">
        <f>IFERROR(VLOOKUP(H721,List!A:B, 2, FALSE), "")</f>
        <v/>
      </c>
      <c r="K721" t="str">
        <f t="shared" si="44"/>
        <v/>
      </c>
      <c r="L721" t="str">
        <f t="shared" si="45"/>
        <v/>
      </c>
      <c r="M721" t="str">
        <f t="shared" si="46"/>
        <v/>
      </c>
    </row>
    <row r="722" spans="8:13" x14ac:dyDescent="0.3">
      <c r="H722" t="str">
        <f t="shared" si="47"/>
        <v/>
      </c>
      <c r="I722" t="str">
        <f>IFERROR(VLOOKUP(H722,List!A:B, 2, FALSE), "")</f>
        <v/>
      </c>
      <c r="K722" t="str">
        <f t="shared" si="44"/>
        <v/>
      </c>
      <c r="L722" t="str">
        <f t="shared" si="45"/>
        <v/>
      </c>
      <c r="M722" t="str">
        <f t="shared" si="46"/>
        <v/>
      </c>
    </row>
    <row r="723" spans="8:13" x14ac:dyDescent="0.3">
      <c r="H723" t="str">
        <f t="shared" si="47"/>
        <v/>
      </c>
      <c r="I723" t="str">
        <f>IFERROR(VLOOKUP(H723,List!A:B, 2, FALSE), "")</f>
        <v/>
      </c>
      <c r="K723" t="str">
        <f t="shared" si="44"/>
        <v/>
      </c>
      <c r="L723" t="str">
        <f t="shared" si="45"/>
        <v/>
      </c>
      <c r="M723" t="str">
        <f t="shared" si="46"/>
        <v/>
      </c>
    </row>
    <row r="724" spans="8:13" x14ac:dyDescent="0.3">
      <c r="H724" t="str">
        <f t="shared" si="47"/>
        <v/>
      </c>
      <c r="I724" t="str">
        <f>IFERROR(VLOOKUP(H724,List!A:B, 2, FALSE), "")</f>
        <v/>
      </c>
      <c r="K724" t="str">
        <f t="shared" si="44"/>
        <v/>
      </c>
      <c r="L724" t="str">
        <f t="shared" si="45"/>
        <v/>
      </c>
      <c r="M724" t="str">
        <f t="shared" si="46"/>
        <v/>
      </c>
    </row>
    <row r="725" spans="8:13" x14ac:dyDescent="0.3">
      <c r="H725" t="str">
        <f t="shared" si="47"/>
        <v/>
      </c>
      <c r="I725" t="str">
        <f>IFERROR(VLOOKUP(H725,List!A:B, 2, FALSE), "")</f>
        <v/>
      </c>
      <c r="K725" t="str">
        <f t="shared" si="44"/>
        <v/>
      </c>
      <c r="L725" t="str">
        <f t="shared" si="45"/>
        <v/>
      </c>
      <c r="M725" t="str">
        <f t="shared" si="46"/>
        <v/>
      </c>
    </row>
    <row r="726" spans="8:13" x14ac:dyDescent="0.3">
      <c r="H726" t="str">
        <f t="shared" si="47"/>
        <v/>
      </c>
      <c r="I726" t="str">
        <f>IFERROR(VLOOKUP(H726,List!A:B, 2, FALSE), "")</f>
        <v/>
      </c>
      <c r="K726" t="str">
        <f t="shared" si="44"/>
        <v/>
      </c>
      <c r="L726" t="str">
        <f t="shared" si="45"/>
        <v/>
      </c>
      <c r="M726" t="str">
        <f t="shared" si="46"/>
        <v/>
      </c>
    </row>
    <row r="727" spans="8:13" x14ac:dyDescent="0.3">
      <c r="H727" t="str">
        <f t="shared" si="47"/>
        <v/>
      </c>
      <c r="I727" t="str">
        <f>IFERROR(VLOOKUP(H727,List!A:B, 2, FALSE), "")</f>
        <v/>
      </c>
      <c r="K727" t="str">
        <f t="shared" si="44"/>
        <v/>
      </c>
      <c r="L727" t="str">
        <f t="shared" si="45"/>
        <v/>
      </c>
      <c r="M727" t="str">
        <f t="shared" si="46"/>
        <v/>
      </c>
    </row>
    <row r="728" spans="8:13" x14ac:dyDescent="0.3">
      <c r="H728" t="str">
        <f t="shared" si="47"/>
        <v/>
      </c>
      <c r="I728" t="str">
        <f>IFERROR(VLOOKUP(H728,List!A:B, 2, FALSE), "")</f>
        <v/>
      </c>
      <c r="K728" t="str">
        <f t="shared" si="44"/>
        <v/>
      </c>
      <c r="L728" t="str">
        <f t="shared" si="45"/>
        <v/>
      </c>
      <c r="M728" t="str">
        <f t="shared" si="46"/>
        <v/>
      </c>
    </row>
    <row r="729" spans="8:13" x14ac:dyDescent="0.3">
      <c r="H729" t="str">
        <f t="shared" si="47"/>
        <v/>
      </c>
      <c r="I729" t="str">
        <f>IFERROR(VLOOKUP(H729,List!A:B, 2, FALSE), "")</f>
        <v/>
      </c>
      <c r="K729" t="str">
        <f t="shared" si="44"/>
        <v/>
      </c>
      <c r="L729" t="str">
        <f t="shared" si="45"/>
        <v/>
      </c>
      <c r="M729" t="str">
        <f t="shared" si="46"/>
        <v/>
      </c>
    </row>
    <row r="730" spans="8:13" x14ac:dyDescent="0.3">
      <c r="H730" t="str">
        <f t="shared" si="47"/>
        <v/>
      </c>
      <c r="I730" t="str">
        <f>IFERROR(VLOOKUP(H730,List!A:B, 2, FALSE), "")</f>
        <v/>
      </c>
      <c r="K730" t="str">
        <f t="shared" si="44"/>
        <v/>
      </c>
      <c r="L730" t="str">
        <f t="shared" si="45"/>
        <v/>
      </c>
      <c r="M730" t="str">
        <f t="shared" si="46"/>
        <v/>
      </c>
    </row>
    <row r="731" spans="8:13" x14ac:dyDescent="0.3">
      <c r="H731" t="str">
        <f t="shared" si="47"/>
        <v/>
      </c>
      <c r="I731" t="str">
        <f>IFERROR(VLOOKUP(H731,List!A:B, 2, FALSE), "")</f>
        <v/>
      </c>
      <c r="K731" t="str">
        <f t="shared" si="44"/>
        <v/>
      </c>
      <c r="L731" t="str">
        <f t="shared" si="45"/>
        <v/>
      </c>
      <c r="M731" t="str">
        <f t="shared" si="46"/>
        <v/>
      </c>
    </row>
    <row r="732" spans="8:13" x14ac:dyDescent="0.3">
      <c r="H732" t="str">
        <f t="shared" si="47"/>
        <v/>
      </c>
      <c r="I732" t="str">
        <f>IFERROR(VLOOKUP(H732,List!A:B, 2, FALSE), "")</f>
        <v/>
      </c>
      <c r="K732" t="str">
        <f t="shared" si="44"/>
        <v/>
      </c>
      <c r="L732" t="str">
        <f t="shared" si="45"/>
        <v/>
      </c>
      <c r="M732" t="str">
        <f t="shared" si="46"/>
        <v/>
      </c>
    </row>
    <row r="733" spans="8:13" x14ac:dyDescent="0.3">
      <c r="H733" t="str">
        <f t="shared" si="47"/>
        <v/>
      </c>
      <c r="I733" t="str">
        <f>IFERROR(VLOOKUP(H733,List!A:B, 2, FALSE), "")</f>
        <v/>
      </c>
      <c r="K733" t="str">
        <f t="shared" si="44"/>
        <v/>
      </c>
      <c r="L733" t="str">
        <f t="shared" si="45"/>
        <v/>
      </c>
      <c r="M733" t="str">
        <f t="shared" si="46"/>
        <v/>
      </c>
    </row>
    <row r="734" spans="8:13" x14ac:dyDescent="0.3">
      <c r="H734" t="str">
        <f t="shared" si="47"/>
        <v/>
      </c>
      <c r="I734" t="str">
        <f>IFERROR(VLOOKUP(H734,List!A:B, 2, FALSE), "")</f>
        <v/>
      </c>
      <c r="K734" t="str">
        <f t="shared" si="44"/>
        <v/>
      </c>
      <c r="L734" t="str">
        <f t="shared" si="45"/>
        <v/>
      </c>
      <c r="M734" t="str">
        <f t="shared" si="46"/>
        <v/>
      </c>
    </row>
    <row r="735" spans="8:13" x14ac:dyDescent="0.3">
      <c r="H735" t="str">
        <f t="shared" si="47"/>
        <v/>
      </c>
      <c r="I735" t="str">
        <f>IFERROR(VLOOKUP(H735,List!A:B, 2, FALSE), "")</f>
        <v/>
      </c>
      <c r="K735" t="str">
        <f t="shared" si="44"/>
        <v/>
      </c>
      <c r="L735" t="str">
        <f t="shared" si="45"/>
        <v/>
      </c>
      <c r="M735" t="str">
        <f t="shared" si="46"/>
        <v/>
      </c>
    </row>
    <row r="736" spans="8:13" x14ac:dyDescent="0.3">
      <c r="H736" t="str">
        <f t="shared" si="47"/>
        <v/>
      </c>
      <c r="I736" t="str">
        <f>IFERROR(VLOOKUP(H736,List!A:B, 2, FALSE), "")</f>
        <v/>
      </c>
      <c r="K736" t="str">
        <f t="shared" si="44"/>
        <v/>
      </c>
      <c r="L736" t="str">
        <f t="shared" si="45"/>
        <v/>
      </c>
      <c r="M736" t="str">
        <f t="shared" si="46"/>
        <v/>
      </c>
    </row>
    <row r="737" spans="8:13" x14ac:dyDescent="0.3">
      <c r="H737" t="str">
        <f t="shared" si="47"/>
        <v/>
      </c>
      <c r="I737" t="str">
        <f>IFERROR(VLOOKUP(H737,List!A:B, 2, FALSE), "")</f>
        <v/>
      </c>
      <c r="K737" t="str">
        <f t="shared" si="44"/>
        <v/>
      </c>
      <c r="L737" t="str">
        <f t="shared" si="45"/>
        <v/>
      </c>
      <c r="M737" t="str">
        <f t="shared" si="46"/>
        <v/>
      </c>
    </row>
    <row r="738" spans="8:13" x14ac:dyDescent="0.3">
      <c r="H738" t="str">
        <f t="shared" si="47"/>
        <v/>
      </c>
      <c r="I738" t="str">
        <f>IFERROR(VLOOKUP(H738,List!A:B, 2, FALSE), "")</f>
        <v/>
      </c>
      <c r="K738" t="str">
        <f t="shared" si="44"/>
        <v/>
      </c>
      <c r="L738" t="str">
        <f t="shared" si="45"/>
        <v/>
      </c>
      <c r="M738" t="str">
        <f t="shared" si="46"/>
        <v/>
      </c>
    </row>
    <row r="739" spans="8:13" x14ac:dyDescent="0.3">
      <c r="H739" t="str">
        <f t="shared" si="47"/>
        <v/>
      </c>
      <c r="I739" t="str">
        <f>IFERROR(VLOOKUP(H739,List!A:B, 2, FALSE), "")</f>
        <v/>
      </c>
      <c r="K739" t="str">
        <f t="shared" si="44"/>
        <v/>
      </c>
      <c r="L739" t="str">
        <f t="shared" si="45"/>
        <v/>
      </c>
      <c r="M739" t="str">
        <f t="shared" si="46"/>
        <v/>
      </c>
    </row>
    <row r="740" spans="8:13" x14ac:dyDescent="0.3">
      <c r="H740" t="str">
        <f t="shared" si="47"/>
        <v/>
      </c>
      <c r="I740" t="str">
        <f>IFERROR(VLOOKUP(H740,List!A:B, 2, FALSE), "")</f>
        <v/>
      </c>
      <c r="K740" t="str">
        <f t="shared" si="44"/>
        <v/>
      </c>
      <c r="L740" t="str">
        <f t="shared" si="45"/>
        <v/>
      </c>
      <c r="M740" t="str">
        <f t="shared" si="46"/>
        <v/>
      </c>
    </row>
    <row r="741" spans="8:13" x14ac:dyDescent="0.3">
      <c r="H741" t="str">
        <f t="shared" si="47"/>
        <v/>
      </c>
      <c r="I741" t="str">
        <f>IFERROR(VLOOKUP(H741,List!A:B, 2, FALSE), "")</f>
        <v/>
      </c>
      <c r="K741" t="str">
        <f t="shared" si="44"/>
        <v/>
      </c>
      <c r="L741" t="str">
        <f t="shared" si="45"/>
        <v/>
      </c>
      <c r="M741" t="str">
        <f t="shared" si="46"/>
        <v/>
      </c>
    </row>
    <row r="742" spans="8:13" x14ac:dyDescent="0.3">
      <c r="H742" t="str">
        <f t="shared" si="47"/>
        <v/>
      </c>
      <c r="I742" t="str">
        <f>IFERROR(VLOOKUP(H742,List!A:B, 2, FALSE), "")</f>
        <v/>
      </c>
      <c r="K742" t="str">
        <f t="shared" si="44"/>
        <v/>
      </c>
      <c r="L742" t="str">
        <f t="shared" si="45"/>
        <v/>
      </c>
      <c r="M742" t="str">
        <f t="shared" si="46"/>
        <v/>
      </c>
    </row>
    <row r="743" spans="8:13" x14ac:dyDescent="0.3">
      <c r="H743" t="str">
        <f t="shared" si="47"/>
        <v/>
      </c>
      <c r="I743" t="str">
        <f>IFERROR(VLOOKUP(H743,List!A:B, 2, FALSE), "")</f>
        <v/>
      </c>
      <c r="K743" t="str">
        <f t="shared" si="44"/>
        <v/>
      </c>
      <c r="L743" t="str">
        <f t="shared" si="45"/>
        <v/>
      </c>
      <c r="M743" t="str">
        <f t="shared" si="46"/>
        <v/>
      </c>
    </row>
    <row r="744" spans="8:13" x14ac:dyDescent="0.3">
      <c r="H744" t="str">
        <f t="shared" si="47"/>
        <v/>
      </c>
      <c r="I744" t="str">
        <f>IFERROR(VLOOKUP(H744,List!A:B, 2, FALSE), "")</f>
        <v/>
      </c>
      <c r="K744" t="str">
        <f t="shared" si="44"/>
        <v/>
      </c>
      <c r="L744" t="str">
        <f t="shared" si="45"/>
        <v/>
      </c>
      <c r="M744" t="str">
        <f t="shared" si="46"/>
        <v/>
      </c>
    </row>
    <row r="745" spans="8:13" x14ac:dyDescent="0.3">
      <c r="H745" t="str">
        <f t="shared" si="47"/>
        <v/>
      </c>
      <c r="I745" t="str">
        <f>IFERROR(VLOOKUP(H745,List!A:B, 2, FALSE), "")</f>
        <v/>
      </c>
      <c r="K745" t="str">
        <f t="shared" si="44"/>
        <v/>
      </c>
      <c r="L745" t="str">
        <f t="shared" si="45"/>
        <v/>
      </c>
      <c r="M745" t="str">
        <f t="shared" si="46"/>
        <v/>
      </c>
    </row>
    <row r="746" spans="8:13" x14ac:dyDescent="0.3">
      <c r="H746" t="str">
        <f t="shared" si="47"/>
        <v/>
      </c>
      <c r="I746" t="str">
        <f>IFERROR(VLOOKUP(H746,List!A:B, 2, FALSE), "")</f>
        <v/>
      </c>
      <c r="K746" t="str">
        <f t="shared" si="44"/>
        <v/>
      </c>
      <c r="L746" t="str">
        <f t="shared" si="45"/>
        <v/>
      </c>
      <c r="M746" t="str">
        <f t="shared" si="46"/>
        <v/>
      </c>
    </row>
    <row r="747" spans="8:13" x14ac:dyDescent="0.3">
      <c r="H747" t="str">
        <f t="shared" si="47"/>
        <v/>
      </c>
      <c r="I747" t="str">
        <f>IFERROR(VLOOKUP(H747,List!A:B, 2, FALSE), "")</f>
        <v/>
      </c>
      <c r="K747" t="str">
        <f t="shared" si="44"/>
        <v/>
      </c>
      <c r="L747" t="str">
        <f t="shared" si="45"/>
        <v/>
      </c>
      <c r="M747" t="str">
        <f t="shared" si="46"/>
        <v/>
      </c>
    </row>
    <row r="748" spans="8:13" x14ac:dyDescent="0.3">
      <c r="H748" t="str">
        <f t="shared" si="47"/>
        <v/>
      </c>
      <c r="I748" t="str">
        <f>IFERROR(VLOOKUP(H748,List!A:B, 2, FALSE), "")</f>
        <v/>
      </c>
      <c r="K748" t="str">
        <f t="shared" si="44"/>
        <v/>
      </c>
      <c r="L748" t="str">
        <f t="shared" si="45"/>
        <v/>
      </c>
      <c r="M748" t="str">
        <f t="shared" si="46"/>
        <v/>
      </c>
    </row>
    <row r="749" spans="8:13" x14ac:dyDescent="0.3">
      <c r="H749" t="str">
        <f t="shared" si="47"/>
        <v/>
      </c>
      <c r="I749" t="str">
        <f>IFERROR(VLOOKUP(H749,List!A:B, 2, FALSE), "")</f>
        <v/>
      </c>
      <c r="K749" t="str">
        <f t="shared" si="44"/>
        <v/>
      </c>
      <c r="L749" t="str">
        <f t="shared" si="45"/>
        <v/>
      </c>
      <c r="M749" t="str">
        <f t="shared" si="46"/>
        <v/>
      </c>
    </row>
    <row r="750" spans="8:13" x14ac:dyDescent="0.3">
      <c r="H750" t="str">
        <f t="shared" si="47"/>
        <v/>
      </c>
      <c r="I750" t="str">
        <f>IFERROR(VLOOKUP(H750,List!A:B, 2, FALSE), "")</f>
        <v/>
      </c>
      <c r="K750" t="str">
        <f t="shared" si="44"/>
        <v/>
      </c>
      <c r="L750" t="str">
        <f t="shared" si="45"/>
        <v/>
      </c>
      <c r="M750" t="str">
        <f t="shared" si="46"/>
        <v/>
      </c>
    </row>
    <row r="751" spans="8:13" x14ac:dyDescent="0.3">
      <c r="H751" t="str">
        <f t="shared" si="47"/>
        <v/>
      </c>
      <c r="I751" t="str">
        <f>IFERROR(VLOOKUP(H751,List!A:B, 2, FALSE), "")</f>
        <v/>
      </c>
      <c r="K751" t="str">
        <f t="shared" si="44"/>
        <v/>
      </c>
      <c r="L751" t="str">
        <f t="shared" si="45"/>
        <v/>
      </c>
      <c r="M751" t="str">
        <f t="shared" si="46"/>
        <v/>
      </c>
    </row>
    <row r="752" spans="8:13" x14ac:dyDescent="0.3">
      <c r="H752" t="str">
        <f t="shared" si="47"/>
        <v/>
      </c>
      <c r="I752" t="str">
        <f>IFERROR(VLOOKUP(H752,List!A:B, 2, FALSE), "")</f>
        <v/>
      </c>
      <c r="K752" t="str">
        <f t="shared" si="44"/>
        <v/>
      </c>
      <c r="L752" t="str">
        <f t="shared" si="45"/>
        <v/>
      </c>
      <c r="M752" t="str">
        <f t="shared" si="46"/>
        <v/>
      </c>
    </row>
    <row r="753" spans="8:13" x14ac:dyDescent="0.3">
      <c r="H753" t="str">
        <f t="shared" si="47"/>
        <v/>
      </c>
      <c r="I753" t="str">
        <f>IFERROR(VLOOKUP(H753,List!A:B, 2, FALSE), "")</f>
        <v/>
      </c>
      <c r="K753" t="str">
        <f t="shared" si="44"/>
        <v/>
      </c>
      <c r="L753" t="str">
        <f t="shared" si="45"/>
        <v/>
      </c>
      <c r="M753" t="str">
        <f t="shared" si="46"/>
        <v/>
      </c>
    </row>
    <row r="754" spans="8:13" x14ac:dyDescent="0.3">
      <c r="H754" t="str">
        <f t="shared" si="47"/>
        <v/>
      </c>
      <c r="I754" t="str">
        <f>IFERROR(VLOOKUP(H754,List!A:B, 2, FALSE), "")</f>
        <v/>
      </c>
      <c r="K754" t="str">
        <f t="shared" si="44"/>
        <v/>
      </c>
      <c r="L754" t="str">
        <f t="shared" si="45"/>
        <v/>
      </c>
      <c r="M754" t="str">
        <f t="shared" si="46"/>
        <v/>
      </c>
    </row>
    <row r="755" spans="8:13" x14ac:dyDescent="0.3">
      <c r="H755" t="str">
        <f t="shared" si="47"/>
        <v/>
      </c>
      <c r="I755" t="str">
        <f>IFERROR(VLOOKUP(H755,List!A:B, 2, FALSE), "")</f>
        <v/>
      </c>
      <c r="K755" t="str">
        <f t="shared" si="44"/>
        <v/>
      </c>
      <c r="L755" t="str">
        <f t="shared" si="45"/>
        <v/>
      </c>
      <c r="M755" t="str">
        <f t="shared" si="46"/>
        <v/>
      </c>
    </row>
    <row r="756" spans="8:13" x14ac:dyDescent="0.3">
      <c r="H756" t="str">
        <f t="shared" si="47"/>
        <v/>
      </c>
      <c r="I756" t="str">
        <f>IFERROR(VLOOKUP(H756,List!A:B, 2, FALSE), "")</f>
        <v/>
      </c>
      <c r="K756" t="str">
        <f t="shared" si="44"/>
        <v/>
      </c>
      <c r="L756" t="str">
        <f t="shared" si="45"/>
        <v/>
      </c>
      <c r="M756" t="str">
        <f t="shared" si="46"/>
        <v/>
      </c>
    </row>
    <row r="757" spans="8:13" x14ac:dyDescent="0.3">
      <c r="H757" t="str">
        <f t="shared" si="47"/>
        <v/>
      </c>
      <c r="I757" t="str">
        <f>IFERROR(VLOOKUP(H757,List!A:B, 2, FALSE), "")</f>
        <v/>
      </c>
      <c r="K757" t="str">
        <f t="shared" si="44"/>
        <v/>
      </c>
      <c r="L757" t="str">
        <f t="shared" si="45"/>
        <v/>
      </c>
      <c r="M757" t="str">
        <f t="shared" si="46"/>
        <v/>
      </c>
    </row>
    <row r="758" spans="8:13" x14ac:dyDescent="0.3">
      <c r="H758" t="str">
        <f t="shared" si="47"/>
        <v/>
      </c>
      <c r="I758" t="str">
        <f>IFERROR(VLOOKUP(H758,List!A:B, 2, FALSE), "")</f>
        <v/>
      </c>
      <c r="K758" t="str">
        <f t="shared" si="44"/>
        <v/>
      </c>
      <c r="L758" t="str">
        <f t="shared" si="45"/>
        <v/>
      </c>
      <c r="M758" t="str">
        <f t="shared" si="46"/>
        <v/>
      </c>
    </row>
    <row r="759" spans="8:13" x14ac:dyDescent="0.3">
      <c r="H759" t="str">
        <f t="shared" si="47"/>
        <v/>
      </c>
      <c r="I759" t="str">
        <f>IFERROR(VLOOKUP(H759,List!A:B, 2, FALSE), "")</f>
        <v/>
      </c>
      <c r="K759" t="str">
        <f t="shared" si="44"/>
        <v/>
      </c>
      <c r="L759" t="str">
        <f t="shared" si="45"/>
        <v/>
      </c>
      <c r="M759" t="str">
        <f t="shared" si="46"/>
        <v/>
      </c>
    </row>
    <row r="760" spans="8:13" x14ac:dyDescent="0.3">
      <c r="H760" t="str">
        <f t="shared" si="47"/>
        <v/>
      </c>
      <c r="I760" t="str">
        <f>IFERROR(VLOOKUP(H760,List!A:B, 2, FALSE), "")</f>
        <v/>
      </c>
      <c r="K760" t="str">
        <f t="shared" si="44"/>
        <v/>
      </c>
      <c r="L760" t="str">
        <f t="shared" si="45"/>
        <v/>
      </c>
      <c r="M760" t="str">
        <f t="shared" si="46"/>
        <v/>
      </c>
    </row>
    <row r="761" spans="8:13" x14ac:dyDescent="0.3">
      <c r="H761" t="str">
        <f t="shared" si="47"/>
        <v/>
      </c>
      <c r="I761" t="str">
        <f>IFERROR(VLOOKUP(H761,List!A:B, 2, FALSE), "")</f>
        <v/>
      </c>
      <c r="K761" t="str">
        <f t="shared" si="44"/>
        <v/>
      </c>
      <c r="L761" t="str">
        <f t="shared" si="45"/>
        <v/>
      </c>
      <c r="M761" t="str">
        <f t="shared" si="46"/>
        <v/>
      </c>
    </row>
    <row r="762" spans="8:13" x14ac:dyDescent="0.3">
      <c r="H762" t="str">
        <f t="shared" si="47"/>
        <v/>
      </c>
      <c r="I762" t="str">
        <f>IFERROR(VLOOKUP(H762,List!A:B, 2, FALSE), "")</f>
        <v/>
      </c>
      <c r="K762" t="str">
        <f t="shared" si="44"/>
        <v/>
      </c>
      <c r="L762" t="str">
        <f t="shared" si="45"/>
        <v/>
      </c>
      <c r="M762" t="str">
        <f t="shared" si="46"/>
        <v/>
      </c>
    </row>
    <row r="763" spans="8:13" x14ac:dyDescent="0.3">
      <c r="H763" t="str">
        <f t="shared" si="47"/>
        <v/>
      </c>
      <c r="I763" t="str">
        <f>IFERROR(VLOOKUP(H763,List!A:B, 2, FALSE), "")</f>
        <v/>
      </c>
      <c r="K763" t="str">
        <f t="shared" si="44"/>
        <v/>
      </c>
      <c r="L763" t="str">
        <f t="shared" si="45"/>
        <v/>
      </c>
      <c r="M763" t="str">
        <f t="shared" si="46"/>
        <v/>
      </c>
    </row>
    <row r="764" spans="8:13" x14ac:dyDescent="0.3">
      <c r="H764" t="str">
        <f t="shared" si="47"/>
        <v/>
      </c>
      <c r="I764" t="str">
        <f>IFERROR(VLOOKUP(H764,List!A:B, 2, FALSE), "")</f>
        <v/>
      </c>
      <c r="K764" t="str">
        <f t="shared" si="44"/>
        <v/>
      </c>
      <c r="L764" t="str">
        <f t="shared" si="45"/>
        <v/>
      </c>
      <c r="M764" t="str">
        <f t="shared" si="46"/>
        <v/>
      </c>
    </row>
    <row r="765" spans="8:13" x14ac:dyDescent="0.3">
      <c r="H765" t="str">
        <f t="shared" si="47"/>
        <v/>
      </c>
      <c r="I765" t="str">
        <f>IFERROR(VLOOKUP(H765,List!A:B, 2, FALSE), "")</f>
        <v/>
      </c>
      <c r="K765" t="str">
        <f t="shared" si="44"/>
        <v/>
      </c>
      <c r="L765" t="str">
        <f t="shared" si="45"/>
        <v/>
      </c>
      <c r="M765" t="str">
        <f t="shared" si="46"/>
        <v/>
      </c>
    </row>
    <row r="766" spans="8:13" x14ac:dyDescent="0.3">
      <c r="H766" t="str">
        <f t="shared" si="47"/>
        <v/>
      </c>
      <c r="I766" t="str">
        <f>IFERROR(VLOOKUP(H766,List!A:B, 2, FALSE), "")</f>
        <v/>
      </c>
      <c r="K766" t="str">
        <f t="shared" si="44"/>
        <v/>
      </c>
      <c r="L766" t="str">
        <f t="shared" si="45"/>
        <v/>
      </c>
      <c r="M766" t="str">
        <f t="shared" si="46"/>
        <v/>
      </c>
    </row>
    <row r="767" spans="8:13" x14ac:dyDescent="0.3">
      <c r="H767" t="str">
        <f t="shared" si="47"/>
        <v/>
      </c>
      <c r="I767" t="str">
        <f>IFERROR(VLOOKUP(H767,List!A:B, 2, FALSE), "")</f>
        <v/>
      </c>
      <c r="K767" t="str">
        <f t="shared" si="44"/>
        <v/>
      </c>
      <c r="L767" t="str">
        <f t="shared" si="45"/>
        <v/>
      </c>
      <c r="M767" t="str">
        <f t="shared" si="46"/>
        <v/>
      </c>
    </row>
    <row r="768" spans="8:13" x14ac:dyDescent="0.3">
      <c r="H768" t="str">
        <f t="shared" si="47"/>
        <v/>
      </c>
      <c r="I768" t="str">
        <f>IFERROR(VLOOKUP(H768,List!A:B, 2, FALSE), "")</f>
        <v/>
      </c>
      <c r="K768" t="str">
        <f t="shared" si="44"/>
        <v/>
      </c>
      <c r="L768" t="str">
        <f t="shared" si="45"/>
        <v/>
      </c>
      <c r="M768" t="str">
        <f t="shared" si="46"/>
        <v/>
      </c>
    </row>
    <row r="769" spans="8:13" x14ac:dyDescent="0.3">
      <c r="H769" t="str">
        <f t="shared" si="47"/>
        <v/>
      </c>
      <c r="I769" t="str">
        <f>IFERROR(VLOOKUP(H769,List!A:B, 2, FALSE), "")</f>
        <v/>
      </c>
      <c r="K769" t="str">
        <f t="shared" si="44"/>
        <v/>
      </c>
      <c r="L769" t="str">
        <f t="shared" si="45"/>
        <v/>
      </c>
      <c r="M769" t="str">
        <f t="shared" si="46"/>
        <v/>
      </c>
    </row>
    <row r="770" spans="8:13" x14ac:dyDescent="0.3">
      <c r="H770" t="str">
        <f t="shared" si="47"/>
        <v/>
      </c>
      <c r="I770" t="str">
        <f>IFERROR(VLOOKUP(H770,List!A:B, 2, FALSE), "")</f>
        <v/>
      </c>
      <c r="K770" t="str">
        <f t="shared" si="44"/>
        <v/>
      </c>
      <c r="L770" t="str">
        <f t="shared" si="45"/>
        <v/>
      </c>
      <c r="M770" t="str">
        <f t="shared" si="46"/>
        <v/>
      </c>
    </row>
    <row r="771" spans="8:13" x14ac:dyDescent="0.3">
      <c r="H771" t="str">
        <f t="shared" si="47"/>
        <v/>
      </c>
      <c r="I771" t="str">
        <f>IFERROR(VLOOKUP(H771,List!A:B, 2, FALSE), "")</f>
        <v/>
      </c>
      <c r="K771" t="str">
        <f t="shared" ref="K771:K834" si="48">SUBSTITUTE(SUBSTITUTE(SUBSTITUTE(SUBSTITUTE(C771,"-",""),"+",""),"p:","")," ","")</f>
        <v/>
      </c>
      <c r="L771" t="str">
        <f t="shared" ref="L771:L834" si="49">K771</f>
        <v/>
      </c>
      <c r="M771" t="str">
        <f t="shared" ref="M771:M834" si="50">IF(LEFT(L771, 2) = "91", RIGHT(L771, LEN(L771) - 2),
 IF(LEFT(L771, 3) = "971", RIGHT(L771, LEN(L771) - 3),
  IF(LEFT(L771, 2) = "92", RIGHT(L771, LEN(L771) - 2),
   IF(LEFT(L771, 3) = "974", RIGHT(L771, LEN(L771) - 3),
    IF(LEFT(L771, 2) = "60", RIGHT(L771, LEN(L771) - 2),
     IF(LEFT(L771, 2) = "65", RIGHT(L771, LEN(L771) - 2),
      IF(LEFT(L771, 3) = "966", RIGHT(L771, LEN(L771) - 3),
       IF(LEFT(L771, 3) = "967", RIGHT(L771, LEN(L771) - 3),
        IF(LEFT(L771, 3) = "968", RIGHT(L771, LEN(L771) - 3),
         IF(LEFT(L771, 3) = "249", RIGHT(L771, LEN(L771) - 3),
          IF(LEFT(L771, 3) = "213", RIGHT(L771, LEN(L771) - 3),
           IF(LEFT(L771, 3) = "965", RIGHT(L771, LEN(L771) - 3),
            IF(LEFT(L771, 3) = "1", RIGHT(L771, LEN(L771) - 1),
             IF(LEFT(L771, 3) = "973", RIGHT(L771, LEN(L771) - 3),
              IF(LEFT(L771, 3) = "233", RIGHT(L771, LEN(L771) - 3),
               IF(LEFT(L771, 3) = "977", RIGHT(L771, LEN(L771) - 3),
                IF(LEFT(L771, 2) = "20", RIGHT(L771, LEN(L771) - 2),
                 L771
                )
               )
              )
             )
            )
           )
          )
         )
        )
       )
      )
     )
    )
   )
  )
 )
)</f>
        <v/>
      </c>
    </row>
    <row r="772" spans="8:13" x14ac:dyDescent="0.3">
      <c r="H772" t="str">
        <f t="shared" si="47"/>
        <v/>
      </c>
      <c r="I772" t="str">
        <f>IFERROR(VLOOKUP(H772,List!A:B, 2, FALSE), "")</f>
        <v/>
      </c>
      <c r="K772" t="str">
        <f t="shared" si="48"/>
        <v/>
      </c>
      <c r="L772" t="str">
        <f t="shared" si="49"/>
        <v/>
      </c>
      <c r="M772" t="str">
        <f t="shared" si="50"/>
        <v/>
      </c>
    </row>
    <row r="773" spans="8:13" x14ac:dyDescent="0.3">
      <c r="H773" t="str">
        <f t="shared" si="47"/>
        <v/>
      </c>
      <c r="I773" t="str">
        <f>IFERROR(VLOOKUP(H773,List!A:B, 2, FALSE), "")</f>
        <v/>
      </c>
      <c r="K773" t="str">
        <f t="shared" si="48"/>
        <v/>
      </c>
      <c r="L773" t="str">
        <f t="shared" si="49"/>
        <v/>
      </c>
      <c r="M773" t="str">
        <f t="shared" si="50"/>
        <v/>
      </c>
    </row>
    <row r="774" spans="8:13" x14ac:dyDescent="0.3">
      <c r="H774" t="str">
        <f t="shared" si="47"/>
        <v/>
      </c>
      <c r="I774" t="str">
        <f>IFERROR(VLOOKUP(H774,List!A:B, 2, FALSE), "")</f>
        <v/>
      </c>
      <c r="K774" t="str">
        <f t="shared" si="48"/>
        <v/>
      </c>
      <c r="L774" t="str">
        <f t="shared" si="49"/>
        <v/>
      </c>
      <c r="M774" t="str">
        <f t="shared" si="50"/>
        <v/>
      </c>
    </row>
    <row r="775" spans="8:13" x14ac:dyDescent="0.3">
      <c r="H775" t="str">
        <f t="shared" ref="H775:H838" si="51">IF(N775=0,"","")</f>
        <v/>
      </c>
      <c r="I775" t="str">
        <f>IFERROR(VLOOKUP(H775,List!A:B, 2, FALSE), "")</f>
        <v/>
      </c>
      <c r="K775" t="str">
        <f t="shared" si="48"/>
        <v/>
      </c>
      <c r="L775" t="str">
        <f t="shared" si="49"/>
        <v/>
      </c>
      <c r="M775" t="str">
        <f t="shared" si="50"/>
        <v/>
      </c>
    </row>
    <row r="776" spans="8:13" x14ac:dyDescent="0.3">
      <c r="H776" t="str">
        <f t="shared" si="51"/>
        <v/>
      </c>
      <c r="I776" t="str">
        <f>IFERROR(VLOOKUP(H776,List!A:B, 2, FALSE), "")</f>
        <v/>
      </c>
      <c r="K776" t="str">
        <f t="shared" si="48"/>
        <v/>
      </c>
      <c r="L776" t="str">
        <f t="shared" si="49"/>
        <v/>
      </c>
      <c r="M776" t="str">
        <f t="shared" si="50"/>
        <v/>
      </c>
    </row>
    <row r="777" spans="8:13" x14ac:dyDescent="0.3">
      <c r="H777" t="str">
        <f t="shared" si="51"/>
        <v/>
      </c>
      <c r="I777" t="str">
        <f>IFERROR(VLOOKUP(H777,List!A:B, 2, FALSE), "")</f>
        <v/>
      </c>
      <c r="K777" t="str">
        <f t="shared" si="48"/>
        <v/>
      </c>
      <c r="L777" t="str">
        <f t="shared" si="49"/>
        <v/>
      </c>
      <c r="M777" t="str">
        <f t="shared" si="50"/>
        <v/>
      </c>
    </row>
    <row r="778" spans="8:13" x14ac:dyDescent="0.3">
      <c r="H778" t="str">
        <f t="shared" si="51"/>
        <v/>
      </c>
      <c r="I778" t="str">
        <f>IFERROR(VLOOKUP(H778,List!A:B, 2, FALSE), "")</f>
        <v/>
      </c>
      <c r="K778" t="str">
        <f t="shared" si="48"/>
        <v/>
      </c>
      <c r="L778" t="str">
        <f t="shared" si="49"/>
        <v/>
      </c>
      <c r="M778" t="str">
        <f t="shared" si="50"/>
        <v/>
      </c>
    </row>
    <row r="779" spans="8:13" x14ac:dyDescent="0.3">
      <c r="H779" t="str">
        <f t="shared" si="51"/>
        <v/>
      </c>
      <c r="I779" t="str">
        <f>IFERROR(VLOOKUP(H779,List!A:B, 2, FALSE), "")</f>
        <v/>
      </c>
      <c r="K779" t="str">
        <f t="shared" si="48"/>
        <v/>
      </c>
      <c r="L779" t="str">
        <f t="shared" si="49"/>
        <v/>
      </c>
      <c r="M779" t="str">
        <f t="shared" si="50"/>
        <v/>
      </c>
    </row>
    <row r="780" spans="8:13" x14ac:dyDescent="0.3">
      <c r="H780" t="str">
        <f t="shared" si="51"/>
        <v/>
      </c>
      <c r="I780" t="str">
        <f>IFERROR(VLOOKUP(H780,List!A:B, 2, FALSE), "")</f>
        <v/>
      </c>
      <c r="K780" t="str">
        <f t="shared" si="48"/>
        <v/>
      </c>
      <c r="L780" t="str">
        <f t="shared" si="49"/>
        <v/>
      </c>
      <c r="M780" t="str">
        <f t="shared" si="50"/>
        <v/>
      </c>
    </row>
    <row r="781" spans="8:13" x14ac:dyDescent="0.3">
      <c r="H781" t="str">
        <f t="shared" si="51"/>
        <v/>
      </c>
      <c r="I781" t="str">
        <f>IFERROR(VLOOKUP(H781,List!A:B, 2, FALSE), "")</f>
        <v/>
      </c>
      <c r="K781" t="str">
        <f t="shared" si="48"/>
        <v/>
      </c>
      <c r="L781" t="str">
        <f t="shared" si="49"/>
        <v/>
      </c>
      <c r="M781" t="str">
        <f t="shared" si="50"/>
        <v/>
      </c>
    </row>
    <row r="782" spans="8:13" x14ac:dyDescent="0.3">
      <c r="H782" t="str">
        <f t="shared" si="51"/>
        <v/>
      </c>
      <c r="I782" t="str">
        <f>IFERROR(VLOOKUP(H782,List!A:B, 2, FALSE), "")</f>
        <v/>
      </c>
      <c r="K782" t="str">
        <f t="shared" si="48"/>
        <v/>
      </c>
      <c r="L782" t="str">
        <f t="shared" si="49"/>
        <v/>
      </c>
      <c r="M782" t="str">
        <f t="shared" si="50"/>
        <v/>
      </c>
    </row>
    <row r="783" spans="8:13" x14ac:dyDescent="0.3">
      <c r="H783" t="str">
        <f t="shared" si="51"/>
        <v/>
      </c>
      <c r="I783" t="str">
        <f>IFERROR(VLOOKUP(H783,List!A:B, 2, FALSE), "")</f>
        <v/>
      </c>
      <c r="K783" t="str">
        <f t="shared" si="48"/>
        <v/>
      </c>
      <c r="L783" t="str">
        <f t="shared" si="49"/>
        <v/>
      </c>
      <c r="M783" t="str">
        <f t="shared" si="50"/>
        <v/>
      </c>
    </row>
    <row r="784" spans="8:13" x14ac:dyDescent="0.3">
      <c r="H784" t="str">
        <f t="shared" si="51"/>
        <v/>
      </c>
      <c r="I784" t="str">
        <f>IFERROR(VLOOKUP(H784,List!A:B, 2, FALSE), "")</f>
        <v/>
      </c>
      <c r="K784" t="str">
        <f t="shared" si="48"/>
        <v/>
      </c>
      <c r="L784" t="str">
        <f t="shared" si="49"/>
        <v/>
      </c>
      <c r="M784" t="str">
        <f t="shared" si="50"/>
        <v/>
      </c>
    </row>
    <row r="785" spans="8:13" x14ac:dyDescent="0.3">
      <c r="H785" t="str">
        <f t="shared" si="51"/>
        <v/>
      </c>
      <c r="I785" t="str">
        <f>IFERROR(VLOOKUP(H785,List!A:B, 2, FALSE), "")</f>
        <v/>
      </c>
      <c r="K785" t="str">
        <f t="shared" si="48"/>
        <v/>
      </c>
      <c r="L785" t="str">
        <f t="shared" si="49"/>
        <v/>
      </c>
      <c r="M785" t="str">
        <f t="shared" si="50"/>
        <v/>
      </c>
    </row>
    <row r="786" spans="8:13" x14ac:dyDescent="0.3">
      <c r="H786" t="str">
        <f t="shared" si="51"/>
        <v/>
      </c>
      <c r="I786" t="str">
        <f>IFERROR(VLOOKUP(H786,List!A:B, 2, FALSE), "")</f>
        <v/>
      </c>
      <c r="K786" t="str">
        <f t="shared" si="48"/>
        <v/>
      </c>
      <c r="L786" t="str">
        <f t="shared" si="49"/>
        <v/>
      </c>
      <c r="M786" t="str">
        <f t="shared" si="50"/>
        <v/>
      </c>
    </row>
    <row r="787" spans="8:13" x14ac:dyDescent="0.3">
      <c r="H787" t="str">
        <f t="shared" si="51"/>
        <v/>
      </c>
      <c r="I787" t="str">
        <f>IFERROR(VLOOKUP(H787,List!A:B, 2, FALSE), "")</f>
        <v/>
      </c>
      <c r="K787" t="str">
        <f t="shared" si="48"/>
        <v/>
      </c>
      <c r="L787" t="str">
        <f t="shared" si="49"/>
        <v/>
      </c>
      <c r="M787" t="str">
        <f t="shared" si="50"/>
        <v/>
      </c>
    </row>
    <row r="788" spans="8:13" x14ac:dyDescent="0.3">
      <c r="H788" t="str">
        <f t="shared" si="51"/>
        <v/>
      </c>
      <c r="I788" t="str">
        <f>IFERROR(VLOOKUP(H788,List!A:B, 2, FALSE), "")</f>
        <v/>
      </c>
      <c r="K788" t="str">
        <f t="shared" si="48"/>
        <v/>
      </c>
      <c r="L788" t="str">
        <f t="shared" si="49"/>
        <v/>
      </c>
      <c r="M788" t="str">
        <f t="shared" si="50"/>
        <v/>
      </c>
    </row>
    <row r="789" spans="8:13" x14ac:dyDescent="0.3">
      <c r="H789" t="str">
        <f t="shared" si="51"/>
        <v/>
      </c>
      <c r="I789" t="str">
        <f>IFERROR(VLOOKUP(H789,List!A:B, 2, FALSE), "")</f>
        <v/>
      </c>
      <c r="K789" t="str">
        <f t="shared" si="48"/>
        <v/>
      </c>
      <c r="L789" t="str">
        <f t="shared" si="49"/>
        <v/>
      </c>
      <c r="M789" t="str">
        <f t="shared" si="50"/>
        <v/>
      </c>
    </row>
    <row r="790" spans="8:13" x14ac:dyDescent="0.3">
      <c r="H790" t="str">
        <f t="shared" si="51"/>
        <v/>
      </c>
      <c r="I790" t="str">
        <f>IFERROR(VLOOKUP(H790,List!A:B, 2, FALSE), "")</f>
        <v/>
      </c>
      <c r="K790" t="str">
        <f t="shared" si="48"/>
        <v/>
      </c>
      <c r="L790" t="str">
        <f t="shared" si="49"/>
        <v/>
      </c>
      <c r="M790" t="str">
        <f t="shared" si="50"/>
        <v/>
      </c>
    </row>
    <row r="791" spans="8:13" x14ac:dyDescent="0.3">
      <c r="H791" t="str">
        <f t="shared" si="51"/>
        <v/>
      </c>
      <c r="I791" t="str">
        <f>IFERROR(VLOOKUP(H791,List!A:B, 2, FALSE), "")</f>
        <v/>
      </c>
      <c r="K791" t="str">
        <f t="shared" si="48"/>
        <v/>
      </c>
      <c r="L791" t="str">
        <f t="shared" si="49"/>
        <v/>
      </c>
      <c r="M791" t="str">
        <f t="shared" si="50"/>
        <v/>
      </c>
    </row>
    <row r="792" spans="8:13" x14ac:dyDescent="0.3">
      <c r="H792" t="str">
        <f t="shared" si="51"/>
        <v/>
      </c>
      <c r="I792" t="str">
        <f>IFERROR(VLOOKUP(H792,List!A:B, 2, FALSE), "")</f>
        <v/>
      </c>
      <c r="K792" t="str">
        <f t="shared" si="48"/>
        <v/>
      </c>
      <c r="L792" t="str">
        <f t="shared" si="49"/>
        <v/>
      </c>
      <c r="M792" t="str">
        <f t="shared" si="50"/>
        <v/>
      </c>
    </row>
    <row r="793" spans="8:13" x14ac:dyDescent="0.3">
      <c r="H793" t="str">
        <f t="shared" si="51"/>
        <v/>
      </c>
      <c r="I793" t="str">
        <f>IFERROR(VLOOKUP(H793,List!A:B, 2, FALSE), "")</f>
        <v/>
      </c>
      <c r="K793" t="str">
        <f t="shared" si="48"/>
        <v/>
      </c>
      <c r="L793" t="str">
        <f t="shared" si="49"/>
        <v/>
      </c>
      <c r="M793" t="str">
        <f t="shared" si="50"/>
        <v/>
      </c>
    </row>
    <row r="794" spans="8:13" x14ac:dyDescent="0.3">
      <c r="H794" t="str">
        <f t="shared" si="51"/>
        <v/>
      </c>
      <c r="I794" t="str">
        <f>IFERROR(VLOOKUP(H794,List!A:B, 2, FALSE), "")</f>
        <v/>
      </c>
      <c r="K794" t="str">
        <f t="shared" si="48"/>
        <v/>
      </c>
      <c r="L794" t="str">
        <f t="shared" si="49"/>
        <v/>
      </c>
      <c r="M794" t="str">
        <f t="shared" si="50"/>
        <v/>
      </c>
    </row>
    <row r="795" spans="8:13" x14ac:dyDescent="0.3">
      <c r="H795" t="str">
        <f t="shared" si="51"/>
        <v/>
      </c>
      <c r="I795" t="str">
        <f>IFERROR(VLOOKUP(H795,List!A:B, 2, FALSE), "")</f>
        <v/>
      </c>
      <c r="K795" t="str">
        <f t="shared" si="48"/>
        <v/>
      </c>
      <c r="L795" t="str">
        <f t="shared" si="49"/>
        <v/>
      </c>
      <c r="M795" t="str">
        <f t="shared" si="50"/>
        <v/>
      </c>
    </row>
    <row r="796" spans="8:13" x14ac:dyDescent="0.3">
      <c r="H796" t="str">
        <f t="shared" si="51"/>
        <v/>
      </c>
      <c r="I796" t="str">
        <f>IFERROR(VLOOKUP(H796,List!A:B, 2, FALSE), "")</f>
        <v/>
      </c>
      <c r="K796" t="str">
        <f t="shared" si="48"/>
        <v/>
      </c>
      <c r="L796" t="str">
        <f t="shared" si="49"/>
        <v/>
      </c>
      <c r="M796" t="str">
        <f t="shared" si="50"/>
        <v/>
      </c>
    </row>
    <row r="797" spans="8:13" x14ac:dyDescent="0.3">
      <c r="H797" t="str">
        <f t="shared" si="51"/>
        <v/>
      </c>
      <c r="I797" t="str">
        <f>IFERROR(VLOOKUP(H797,List!A:B, 2, FALSE), "")</f>
        <v/>
      </c>
      <c r="K797" t="str">
        <f t="shared" si="48"/>
        <v/>
      </c>
      <c r="L797" t="str">
        <f t="shared" si="49"/>
        <v/>
      </c>
      <c r="M797" t="str">
        <f t="shared" si="50"/>
        <v/>
      </c>
    </row>
    <row r="798" spans="8:13" x14ac:dyDescent="0.3">
      <c r="H798" t="str">
        <f t="shared" si="51"/>
        <v/>
      </c>
      <c r="I798" t="str">
        <f>IFERROR(VLOOKUP(H798,List!A:B, 2, FALSE), "")</f>
        <v/>
      </c>
      <c r="K798" t="str">
        <f t="shared" si="48"/>
        <v/>
      </c>
      <c r="L798" t="str">
        <f t="shared" si="49"/>
        <v/>
      </c>
      <c r="M798" t="str">
        <f t="shared" si="50"/>
        <v/>
      </c>
    </row>
    <row r="799" spans="8:13" x14ac:dyDescent="0.3">
      <c r="H799" t="str">
        <f t="shared" si="51"/>
        <v/>
      </c>
      <c r="I799" t="str">
        <f>IFERROR(VLOOKUP(H799,List!A:B, 2, FALSE), "")</f>
        <v/>
      </c>
      <c r="K799" t="str">
        <f t="shared" si="48"/>
        <v/>
      </c>
      <c r="L799" t="str">
        <f t="shared" si="49"/>
        <v/>
      </c>
      <c r="M799" t="str">
        <f t="shared" si="50"/>
        <v/>
      </c>
    </row>
    <row r="800" spans="8:13" x14ac:dyDescent="0.3">
      <c r="H800" t="str">
        <f t="shared" si="51"/>
        <v/>
      </c>
      <c r="I800" t="str">
        <f>IFERROR(VLOOKUP(H800,List!A:B, 2, FALSE), "")</f>
        <v/>
      </c>
      <c r="K800" t="str">
        <f t="shared" si="48"/>
        <v/>
      </c>
      <c r="L800" t="str">
        <f t="shared" si="49"/>
        <v/>
      </c>
      <c r="M800" t="str">
        <f t="shared" si="50"/>
        <v/>
      </c>
    </row>
    <row r="801" spans="8:13" x14ac:dyDescent="0.3">
      <c r="H801" t="str">
        <f t="shared" si="51"/>
        <v/>
      </c>
      <c r="I801" t="str">
        <f>IFERROR(VLOOKUP(H801,List!A:B, 2, FALSE), "")</f>
        <v/>
      </c>
      <c r="K801" t="str">
        <f t="shared" si="48"/>
        <v/>
      </c>
      <c r="L801" t="str">
        <f t="shared" si="49"/>
        <v/>
      </c>
      <c r="M801" t="str">
        <f t="shared" si="50"/>
        <v/>
      </c>
    </row>
    <row r="802" spans="8:13" x14ac:dyDescent="0.3">
      <c r="H802" t="str">
        <f t="shared" si="51"/>
        <v/>
      </c>
      <c r="I802" t="str">
        <f>IFERROR(VLOOKUP(H802,List!A:B, 2, FALSE), "")</f>
        <v/>
      </c>
      <c r="K802" t="str">
        <f t="shared" si="48"/>
        <v/>
      </c>
      <c r="L802" t="str">
        <f t="shared" si="49"/>
        <v/>
      </c>
      <c r="M802" t="str">
        <f t="shared" si="50"/>
        <v/>
      </c>
    </row>
    <row r="803" spans="8:13" x14ac:dyDescent="0.3">
      <c r="H803" t="str">
        <f t="shared" si="51"/>
        <v/>
      </c>
      <c r="I803" t="str">
        <f>IFERROR(VLOOKUP(H803,List!A:B, 2, FALSE), "")</f>
        <v/>
      </c>
      <c r="K803" t="str">
        <f t="shared" si="48"/>
        <v/>
      </c>
      <c r="L803" t="str">
        <f t="shared" si="49"/>
        <v/>
      </c>
      <c r="M803" t="str">
        <f t="shared" si="50"/>
        <v/>
      </c>
    </row>
    <row r="804" spans="8:13" x14ac:dyDescent="0.3">
      <c r="H804" t="str">
        <f t="shared" si="51"/>
        <v/>
      </c>
      <c r="I804" t="str">
        <f>IFERROR(VLOOKUP(H804,List!A:B, 2, FALSE), "")</f>
        <v/>
      </c>
      <c r="K804" t="str">
        <f t="shared" si="48"/>
        <v/>
      </c>
      <c r="L804" t="str">
        <f t="shared" si="49"/>
        <v/>
      </c>
      <c r="M804" t="str">
        <f t="shared" si="50"/>
        <v/>
      </c>
    </row>
    <row r="805" spans="8:13" x14ac:dyDescent="0.3">
      <c r="H805" t="str">
        <f t="shared" si="51"/>
        <v/>
      </c>
      <c r="I805" t="str">
        <f>IFERROR(VLOOKUP(H805,List!A:B, 2, FALSE), "")</f>
        <v/>
      </c>
      <c r="K805" t="str">
        <f t="shared" si="48"/>
        <v/>
      </c>
      <c r="L805" t="str">
        <f t="shared" si="49"/>
        <v/>
      </c>
      <c r="M805" t="str">
        <f t="shared" si="50"/>
        <v/>
      </c>
    </row>
    <row r="806" spans="8:13" x14ac:dyDescent="0.3">
      <c r="H806" t="str">
        <f t="shared" si="51"/>
        <v/>
      </c>
      <c r="I806" t="str">
        <f>IFERROR(VLOOKUP(H806,List!A:B, 2, FALSE), "")</f>
        <v/>
      </c>
      <c r="K806" t="str">
        <f t="shared" si="48"/>
        <v/>
      </c>
      <c r="L806" t="str">
        <f t="shared" si="49"/>
        <v/>
      </c>
      <c r="M806" t="str">
        <f t="shared" si="50"/>
        <v/>
      </c>
    </row>
    <row r="807" spans="8:13" x14ac:dyDescent="0.3">
      <c r="H807" t="str">
        <f t="shared" si="51"/>
        <v/>
      </c>
      <c r="I807" t="str">
        <f>IFERROR(VLOOKUP(H807,List!A:B, 2, FALSE), "")</f>
        <v/>
      </c>
      <c r="K807" t="str">
        <f t="shared" si="48"/>
        <v/>
      </c>
      <c r="L807" t="str">
        <f t="shared" si="49"/>
        <v/>
      </c>
      <c r="M807" t="str">
        <f t="shared" si="50"/>
        <v/>
      </c>
    </row>
    <row r="808" spans="8:13" x14ac:dyDescent="0.3">
      <c r="H808" t="str">
        <f t="shared" si="51"/>
        <v/>
      </c>
      <c r="I808" t="str">
        <f>IFERROR(VLOOKUP(H808,List!A:B, 2, FALSE), "")</f>
        <v/>
      </c>
      <c r="K808" t="str">
        <f t="shared" si="48"/>
        <v/>
      </c>
      <c r="L808" t="str">
        <f t="shared" si="49"/>
        <v/>
      </c>
      <c r="M808" t="str">
        <f t="shared" si="50"/>
        <v/>
      </c>
    </row>
    <row r="809" spans="8:13" x14ac:dyDescent="0.3">
      <c r="H809" t="str">
        <f t="shared" si="51"/>
        <v/>
      </c>
      <c r="I809" t="str">
        <f>IFERROR(VLOOKUP(H809,List!A:B, 2, FALSE), "")</f>
        <v/>
      </c>
      <c r="K809" t="str">
        <f t="shared" si="48"/>
        <v/>
      </c>
      <c r="L809" t="str">
        <f t="shared" si="49"/>
        <v/>
      </c>
      <c r="M809" t="str">
        <f t="shared" si="50"/>
        <v/>
      </c>
    </row>
    <row r="810" spans="8:13" x14ac:dyDescent="0.3">
      <c r="H810" t="str">
        <f t="shared" si="51"/>
        <v/>
      </c>
      <c r="I810" t="str">
        <f>IFERROR(VLOOKUP(H810,List!A:B, 2, FALSE), "")</f>
        <v/>
      </c>
      <c r="K810" t="str">
        <f t="shared" si="48"/>
        <v/>
      </c>
      <c r="L810" t="str">
        <f t="shared" si="49"/>
        <v/>
      </c>
      <c r="M810" t="str">
        <f t="shared" si="50"/>
        <v/>
      </c>
    </row>
    <row r="811" spans="8:13" x14ac:dyDescent="0.3">
      <c r="H811" t="str">
        <f t="shared" si="51"/>
        <v/>
      </c>
      <c r="I811" t="str">
        <f>IFERROR(VLOOKUP(H811,List!A:B, 2, FALSE), "")</f>
        <v/>
      </c>
      <c r="K811" t="str">
        <f t="shared" si="48"/>
        <v/>
      </c>
      <c r="L811" t="str">
        <f t="shared" si="49"/>
        <v/>
      </c>
      <c r="M811" t="str">
        <f t="shared" si="50"/>
        <v/>
      </c>
    </row>
    <row r="812" spans="8:13" x14ac:dyDescent="0.3">
      <c r="H812" t="str">
        <f t="shared" si="51"/>
        <v/>
      </c>
      <c r="I812" t="str">
        <f>IFERROR(VLOOKUP(H812,List!A:B, 2, FALSE), "")</f>
        <v/>
      </c>
      <c r="K812" t="str">
        <f t="shared" si="48"/>
        <v/>
      </c>
      <c r="L812" t="str">
        <f t="shared" si="49"/>
        <v/>
      </c>
      <c r="M812" t="str">
        <f t="shared" si="50"/>
        <v/>
      </c>
    </row>
    <row r="813" spans="8:13" x14ac:dyDescent="0.3">
      <c r="H813" t="str">
        <f t="shared" si="51"/>
        <v/>
      </c>
      <c r="I813" t="str">
        <f>IFERROR(VLOOKUP(H813,List!A:B, 2, FALSE), "")</f>
        <v/>
      </c>
      <c r="K813" t="str">
        <f t="shared" si="48"/>
        <v/>
      </c>
      <c r="L813" t="str">
        <f t="shared" si="49"/>
        <v/>
      </c>
      <c r="M813" t="str">
        <f t="shared" si="50"/>
        <v/>
      </c>
    </row>
    <row r="814" spans="8:13" x14ac:dyDescent="0.3">
      <c r="H814" t="str">
        <f t="shared" si="51"/>
        <v/>
      </c>
      <c r="I814" t="str">
        <f>IFERROR(VLOOKUP(H814,List!A:B, 2, FALSE), "")</f>
        <v/>
      </c>
      <c r="K814" t="str">
        <f t="shared" si="48"/>
        <v/>
      </c>
      <c r="L814" t="str">
        <f t="shared" si="49"/>
        <v/>
      </c>
      <c r="M814" t="str">
        <f t="shared" si="50"/>
        <v/>
      </c>
    </row>
    <row r="815" spans="8:13" x14ac:dyDescent="0.3">
      <c r="H815" t="str">
        <f t="shared" si="51"/>
        <v/>
      </c>
      <c r="I815" t="str">
        <f>IFERROR(VLOOKUP(H815,List!A:B, 2, FALSE), "")</f>
        <v/>
      </c>
      <c r="K815" t="str">
        <f t="shared" si="48"/>
        <v/>
      </c>
      <c r="L815" t="str">
        <f t="shared" si="49"/>
        <v/>
      </c>
      <c r="M815" t="str">
        <f t="shared" si="50"/>
        <v/>
      </c>
    </row>
    <row r="816" spans="8:13" x14ac:dyDescent="0.3">
      <c r="H816" t="str">
        <f t="shared" si="51"/>
        <v/>
      </c>
      <c r="I816" t="str">
        <f>IFERROR(VLOOKUP(H816,List!A:B, 2, FALSE), "")</f>
        <v/>
      </c>
      <c r="K816" t="str">
        <f t="shared" si="48"/>
        <v/>
      </c>
      <c r="L816" t="str">
        <f t="shared" si="49"/>
        <v/>
      </c>
      <c r="M816" t="str">
        <f t="shared" si="50"/>
        <v/>
      </c>
    </row>
    <row r="817" spans="8:13" x14ac:dyDescent="0.3">
      <c r="H817" t="str">
        <f t="shared" si="51"/>
        <v/>
      </c>
      <c r="I817" t="str">
        <f>IFERROR(VLOOKUP(H817,List!A:B, 2, FALSE), "")</f>
        <v/>
      </c>
      <c r="K817" t="str">
        <f t="shared" si="48"/>
        <v/>
      </c>
      <c r="L817" t="str">
        <f t="shared" si="49"/>
        <v/>
      </c>
      <c r="M817" t="str">
        <f t="shared" si="50"/>
        <v/>
      </c>
    </row>
    <row r="818" spans="8:13" x14ac:dyDescent="0.3">
      <c r="H818" t="str">
        <f t="shared" si="51"/>
        <v/>
      </c>
      <c r="I818" t="str">
        <f>IFERROR(VLOOKUP(H818,List!A:B, 2, FALSE), "")</f>
        <v/>
      </c>
      <c r="K818" t="str">
        <f t="shared" si="48"/>
        <v/>
      </c>
      <c r="L818" t="str">
        <f t="shared" si="49"/>
        <v/>
      </c>
      <c r="M818" t="str">
        <f t="shared" si="50"/>
        <v/>
      </c>
    </row>
    <row r="819" spans="8:13" x14ac:dyDescent="0.3">
      <c r="H819" t="str">
        <f t="shared" si="51"/>
        <v/>
      </c>
      <c r="I819" t="str">
        <f>IFERROR(VLOOKUP(H819,List!A:B, 2, FALSE), "")</f>
        <v/>
      </c>
      <c r="K819" t="str">
        <f t="shared" si="48"/>
        <v/>
      </c>
      <c r="L819" t="str">
        <f t="shared" si="49"/>
        <v/>
      </c>
      <c r="M819" t="str">
        <f t="shared" si="50"/>
        <v/>
      </c>
    </row>
    <row r="820" spans="8:13" x14ac:dyDescent="0.3">
      <c r="H820" t="str">
        <f t="shared" si="51"/>
        <v/>
      </c>
      <c r="I820" t="str">
        <f>IFERROR(VLOOKUP(H820,List!A:B, 2, FALSE), "")</f>
        <v/>
      </c>
      <c r="K820" t="str">
        <f t="shared" si="48"/>
        <v/>
      </c>
      <c r="L820" t="str">
        <f t="shared" si="49"/>
        <v/>
      </c>
      <c r="M820" t="str">
        <f t="shared" si="50"/>
        <v/>
      </c>
    </row>
    <row r="821" spans="8:13" x14ac:dyDescent="0.3">
      <c r="H821" t="str">
        <f t="shared" si="51"/>
        <v/>
      </c>
      <c r="I821" t="str">
        <f>IFERROR(VLOOKUP(H821,List!A:B, 2, FALSE), "")</f>
        <v/>
      </c>
      <c r="K821" t="str">
        <f t="shared" si="48"/>
        <v/>
      </c>
      <c r="L821" t="str">
        <f t="shared" si="49"/>
        <v/>
      </c>
      <c r="M821" t="str">
        <f t="shared" si="50"/>
        <v/>
      </c>
    </row>
    <row r="822" spans="8:13" x14ac:dyDescent="0.3">
      <c r="H822" t="str">
        <f t="shared" si="51"/>
        <v/>
      </c>
      <c r="I822" t="str">
        <f>IFERROR(VLOOKUP(H822,List!A:B, 2, FALSE), "")</f>
        <v/>
      </c>
      <c r="K822" t="str">
        <f t="shared" si="48"/>
        <v/>
      </c>
      <c r="L822" t="str">
        <f t="shared" si="49"/>
        <v/>
      </c>
      <c r="M822" t="str">
        <f t="shared" si="50"/>
        <v/>
      </c>
    </row>
    <row r="823" spans="8:13" x14ac:dyDescent="0.3">
      <c r="H823" t="str">
        <f t="shared" si="51"/>
        <v/>
      </c>
      <c r="I823" t="str">
        <f>IFERROR(VLOOKUP(H823,List!A:B, 2, FALSE), "")</f>
        <v/>
      </c>
      <c r="K823" t="str">
        <f t="shared" si="48"/>
        <v/>
      </c>
      <c r="L823" t="str">
        <f t="shared" si="49"/>
        <v/>
      </c>
      <c r="M823" t="str">
        <f t="shared" si="50"/>
        <v/>
      </c>
    </row>
    <row r="824" spans="8:13" x14ac:dyDescent="0.3">
      <c r="H824" t="str">
        <f t="shared" si="51"/>
        <v/>
      </c>
      <c r="I824" t="str">
        <f>IFERROR(VLOOKUP(H824,List!A:B, 2, FALSE), "")</f>
        <v/>
      </c>
      <c r="K824" t="str">
        <f t="shared" si="48"/>
        <v/>
      </c>
      <c r="L824" t="str">
        <f t="shared" si="49"/>
        <v/>
      </c>
      <c r="M824" t="str">
        <f t="shared" si="50"/>
        <v/>
      </c>
    </row>
    <row r="825" spans="8:13" x14ac:dyDescent="0.3">
      <c r="H825" t="str">
        <f t="shared" si="51"/>
        <v/>
      </c>
      <c r="I825" t="str">
        <f>IFERROR(VLOOKUP(H825,List!A:B, 2, FALSE), "")</f>
        <v/>
      </c>
      <c r="K825" t="str">
        <f t="shared" si="48"/>
        <v/>
      </c>
      <c r="L825" t="str">
        <f t="shared" si="49"/>
        <v/>
      </c>
      <c r="M825" t="str">
        <f t="shared" si="50"/>
        <v/>
      </c>
    </row>
    <row r="826" spans="8:13" x14ac:dyDescent="0.3">
      <c r="H826" t="str">
        <f t="shared" si="51"/>
        <v/>
      </c>
      <c r="I826" t="str">
        <f>IFERROR(VLOOKUP(H826,List!A:B, 2, FALSE), "")</f>
        <v/>
      </c>
      <c r="K826" t="str">
        <f t="shared" si="48"/>
        <v/>
      </c>
      <c r="L826" t="str">
        <f t="shared" si="49"/>
        <v/>
      </c>
      <c r="M826" t="str">
        <f t="shared" si="50"/>
        <v/>
      </c>
    </row>
    <row r="827" spans="8:13" x14ac:dyDescent="0.3">
      <c r="H827" t="str">
        <f t="shared" si="51"/>
        <v/>
      </c>
      <c r="I827" t="str">
        <f>IFERROR(VLOOKUP(H827,List!A:B, 2, FALSE), "")</f>
        <v/>
      </c>
      <c r="K827" t="str">
        <f t="shared" si="48"/>
        <v/>
      </c>
      <c r="L827" t="str">
        <f t="shared" si="49"/>
        <v/>
      </c>
      <c r="M827" t="str">
        <f t="shared" si="50"/>
        <v/>
      </c>
    </row>
    <row r="828" spans="8:13" x14ac:dyDescent="0.3">
      <c r="H828" t="str">
        <f t="shared" si="51"/>
        <v/>
      </c>
      <c r="I828" t="str">
        <f>IFERROR(VLOOKUP(H828,List!A:B, 2, FALSE), "")</f>
        <v/>
      </c>
      <c r="K828" t="str">
        <f t="shared" si="48"/>
        <v/>
      </c>
      <c r="L828" t="str">
        <f t="shared" si="49"/>
        <v/>
      </c>
      <c r="M828" t="str">
        <f t="shared" si="50"/>
        <v/>
      </c>
    </row>
    <row r="829" spans="8:13" x14ac:dyDescent="0.3">
      <c r="H829" t="str">
        <f t="shared" si="51"/>
        <v/>
      </c>
      <c r="I829" t="str">
        <f>IFERROR(VLOOKUP(H829,List!A:B, 2, FALSE), "")</f>
        <v/>
      </c>
      <c r="K829" t="str">
        <f t="shared" si="48"/>
        <v/>
      </c>
      <c r="L829" t="str">
        <f t="shared" si="49"/>
        <v/>
      </c>
      <c r="M829" t="str">
        <f t="shared" si="50"/>
        <v/>
      </c>
    </row>
    <row r="830" spans="8:13" x14ac:dyDescent="0.3">
      <c r="H830" t="str">
        <f t="shared" si="51"/>
        <v/>
      </c>
      <c r="I830" t="str">
        <f>IFERROR(VLOOKUP(H830,List!A:B, 2, FALSE), "")</f>
        <v/>
      </c>
      <c r="K830" t="str">
        <f t="shared" si="48"/>
        <v/>
      </c>
      <c r="L830" t="str">
        <f t="shared" si="49"/>
        <v/>
      </c>
      <c r="M830" t="str">
        <f t="shared" si="50"/>
        <v/>
      </c>
    </row>
    <row r="831" spans="8:13" x14ac:dyDescent="0.3">
      <c r="H831" t="str">
        <f t="shared" si="51"/>
        <v/>
      </c>
      <c r="I831" t="str">
        <f>IFERROR(VLOOKUP(H831,List!A:B, 2, FALSE), "")</f>
        <v/>
      </c>
      <c r="K831" t="str">
        <f t="shared" si="48"/>
        <v/>
      </c>
      <c r="L831" t="str">
        <f t="shared" si="49"/>
        <v/>
      </c>
      <c r="M831" t="str">
        <f t="shared" si="50"/>
        <v/>
      </c>
    </row>
    <row r="832" spans="8:13" x14ac:dyDescent="0.3">
      <c r="H832" t="str">
        <f t="shared" si="51"/>
        <v/>
      </c>
      <c r="I832" t="str">
        <f>IFERROR(VLOOKUP(H832,List!A:B, 2, FALSE), "")</f>
        <v/>
      </c>
      <c r="K832" t="str">
        <f t="shared" si="48"/>
        <v/>
      </c>
      <c r="L832" t="str">
        <f t="shared" si="49"/>
        <v/>
      </c>
      <c r="M832" t="str">
        <f t="shared" si="50"/>
        <v/>
      </c>
    </row>
    <row r="833" spans="8:13" x14ac:dyDescent="0.3">
      <c r="H833" t="str">
        <f t="shared" si="51"/>
        <v/>
      </c>
      <c r="I833" t="str">
        <f>IFERROR(VLOOKUP(H833,List!A:B, 2, FALSE), "")</f>
        <v/>
      </c>
      <c r="K833" t="str">
        <f t="shared" si="48"/>
        <v/>
      </c>
      <c r="L833" t="str">
        <f t="shared" si="49"/>
        <v/>
      </c>
      <c r="M833" t="str">
        <f t="shared" si="50"/>
        <v/>
      </c>
    </row>
    <row r="834" spans="8:13" x14ac:dyDescent="0.3">
      <c r="H834" t="str">
        <f t="shared" si="51"/>
        <v/>
      </c>
      <c r="I834" t="str">
        <f>IFERROR(VLOOKUP(H834,List!A:B, 2, FALSE), "")</f>
        <v/>
      </c>
      <c r="K834" t="str">
        <f t="shared" si="48"/>
        <v/>
      </c>
      <c r="L834" t="str">
        <f t="shared" si="49"/>
        <v/>
      </c>
      <c r="M834" t="str">
        <f t="shared" si="50"/>
        <v/>
      </c>
    </row>
    <row r="835" spans="8:13" x14ac:dyDescent="0.3">
      <c r="H835" t="str">
        <f t="shared" si="51"/>
        <v/>
      </c>
      <c r="I835" t="str">
        <f>IFERROR(VLOOKUP(H835,List!A:B, 2, FALSE), "")</f>
        <v/>
      </c>
      <c r="K835" t="str">
        <f t="shared" ref="K835:K898" si="52">SUBSTITUTE(SUBSTITUTE(SUBSTITUTE(SUBSTITUTE(C835,"-",""),"+",""),"p:","")," ","")</f>
        <v/>
      </c>
      <c r="L835" t="str">
        <f t="shared" ref="L835:L898" si="53">K835</f>
        <v/>
      </c>
      <c r="M835" t="str">
        <f t="shared" ref="M835:M898" si="54">IF(LEFT(L835, 2) = "91", RIGHT(L835, LEN(L835) - 2),
 IF(LEFT(L835, 3) = "971", RIGHT(L835, LEN(L835) - 3),
  IF(LEFT(L835, 2) = "92", RIGHT(L835, LEN(L835) - 2),
   IF(LEFT(L835, 3) = "974", RIGHT(L835, LEN(L835) - 3),
    IF(LEFT(L835, 2) = "60", RIGHT(L835, LEN(L835) - 2),
     IF(LEFT(L835, 2) = "65", RIGHT(L835, LEN(L835) - 2),
      IF(LEFT(L835, 3) = "966", RIGHT(L835, LEN(L835) - 3),
       IF(LEFT(L835, 3) = "967", RIGHT(L835, LEN(L835) - 3),
        IF(LEFT(L835, 3) = "968", RIGHT(L835, LEN(L835) - 3),
         IF(LEFT(L835, 3) = "249", RIGHT(L835, LEN(L835) - 3),
          IF(LEFT(L835, 3) = "213", RIGHT(L835, LEN(L835) - 3),
           IF(LEFT(L835, 3) = "965", RIGHT(L835, LEN(L835) - 3),
            IF(LEFT(L835, 3) = "1", RIGHT(L835, LEN(L835) - 1),
             IF(LEFT(L835, 3) = "973", RIGHT(L835, LEN(L835) - 3),
              IF(LEFT(L835, 3) = "233", RIGHT(L835, LEN(L835) - 3),
               IF(LEFT(L835, 3) = "977", RIGHT(L835, LEN(L835) - 3),
                IF(LEFT(L835, 2) = "20", RIGHT(L835, LEN(L835) - 2),
                 L835
                )
               )
              )
             )
            )
           )
          )
         )
        )
       )
      )
     )
    )
   )
  )
 )
)</f>
        <v/>
      </c>
    </row>
    <row r="836" spans="8:13" x14ac:dyDescent="0.3">
      <c r="H836" t="str">
        <f t="shared" si="51"/>
        <v/>
      </c>
      <c r="I836" t="str">
        <f>IFERROR(VLOOKUP(H836,List!A:B, 2, FALSE), "")</f>
        <v/>
      </c>
      <c r="K836" t="str">
        <f t="shared" si="52"/>
        <v/>
      </c>
      <c r="L836" t="str">
        <f t="shared" si="53"/>
        <v/>
      </c>
      <c r="M836" t="str">
        <f t="shared" si="54"/>
        <v/>
      </c>
    </row>
    <row r="837" spans="8:13" x14ac:dyDescent="0.3">
      <c r="H837" t="str">
        <f t="shared" si="51"/>
        <v/>
      </c>
      <c r="I837" t="str">
        <f>IFERROR(VLOOKUP(H837,List!A:B, 2, FALSE), "")</f>
        <v/>
      </c>
      <c r="K837" t="str">
        <f t="shared" si="52"/>
        <v/>
      </c>
      <c r="L837" t="str">
        <f t="shared" si="53"/>
        <v/>
      </c>
      <c r="M837" t="str">
        <f t="shared" si="54"/>
        <v/>
      </c>
    </row>
    <row r="838" spans="8:13" x14ac:dyDescent="0.3">
      <c r="H838" t="str">
        <f t="shared" si="51"/>
        <v/>
      </c>
      <c r="I838" t="str">
        <f>IFERROR(VLOOKUP(H838,List!A:B, 2, FALSE), "")</f>
        <v/>
      </c>
      <c r="K838" t="str">
        <f t="shared" si="52"/>
        <v/>
      </c>
      <c r="L838" t="str">
        <f t="shared" si="53"/>
        <v/>
      </c>
      <c r="M838" t="str">
        <f t="shared" si="54"/>
        <v/>
      </c>
    </row>
    <row r="839" spans="8:13" x14ac:dyDescent="0.3">
      <c r="H839" t="str">
        <f t="shared" ref="H839:H902" si="55">IF(N839=0,"","")</f>
        <v/>
      </c>
      <c r="I839" t="str">
        <f>IFERROR(VLOOKUP(H839,List!A:B, 2, FALSE), "")</f>
        <v/>
      </c>
      <c r="K839" t="str">
        <f t="shared" si="52"/>
        <v/>
      </c>
      <c r="L839" t="str">
        <f t="shared" si="53"/>
        <v/>
      </c>
      <c r="M839" t="str">
        <f t="shared" si="54"/>
        <v/>
      </c>
    </row>
    <row r="840" spans="8:13" x14ac:dyDescent="0.3">
      <c r="H840" t="str">
        <f t="shared" si="55"/>
        <v/>
      </c>
      <c r="I840" t="str">
        <f>IFERROR(VLOOKUP(H840,List!A:B, 2, FALSE), "")</f>
        <v/>
      </c>
      <c r="K840" t="str">
        <f t="shared" si="52"/>
        <v/>
      </c>
      <c r="L840" t="str">
        <f t="shared" si="53"/>
        <v/>
      </c>
      <c r="M840" t="str">
        <f t="shared" si="54"/>
        <v/>
      </c>
    </row>
    <row r="841" spans="8:13" x14ac:dyDescent="0.3">
      <c r="H841" t="str">
        <f t="shared" si="55"/>
        <v/>
      </c>
      <c r="I841" t="str">
        <f>IFERROR(VLOOKUP(H841,List!A:B, 2, FALSE), "")</f>
        <v/>
      </c>
      <c r="K841" t="str">
        <f t="shared" si="52"/>
        <v/>
      </c>
      <c r="L841" t="str">
        <f t="shared" si="53"/>
        <v/>
      </c>
      <c r="M841" t="str">
        <f t="shared" si="54"/>
        <v/>
      </c>
    </row>
    <row r="842" spans="8:13" x14ac:dyDescent="0.3">
      <c r="H842" t="str">
        <f t="shared" si="55"/>
        <v/>
      </c>
      <c r="I842" t="str">
        <f>IFERROR(VLOOKUP(H842,List!A:B, 2, FALSE), "")</f>
        <v/>
      </c>
      <c r="K842" t="str">
        <f t="shared" si="52"/>
        <v/>
      </c>
      <c r="L842" t="str">
        <f t="shared" si="53"/>
        <v/>
      </c>
      <c r="M842" t="str">
        <f t="shared" si="54"/>
        <v/>
      </c>
    </row>
    <row r="843" spans="8:13" x14ac:dyDescent="0.3">
      <c r="H843" t="str">
        <f t="shared" si="55"/>
        <v/>
      </c>
      <c r="I843" t="str">
        <f>IFERROR(VLOOKUP(H843,List!A:B, 2, FALSE), "")</f>
        <v/>
      </c>
      <c r="K843" t="str">
        <f t="shared" si="52"/>
        <v/>
      </c>
      <c r="L843" t="str">
        <f t="shared" si="53"/>
        <v/>
      </c>
      <c r="M843" t="str">
        <f t="shared" si="54"/>
        <v/>
      </c>
    </row>
    <row r="844" spans="8:13" x14ac:dyDescent="0.3">
      <c r="H844" t="str">
        <f t="shared" si="55"/>
        <v/>
      </c>
      <c r="I844" t="str">
        <f>IFERROR(VLOOKUP(H844,List!A:B, 2, FALSE), "")</f>
        <v/>
      </c>
      <c r="K844" t="str">
        <f t="shared" si="52"/>
        <v/>
      </c>
      <c r="L844" t="str">
        <f t="shared" si="53"/>
        <v/>
      </c>
      <c r="M844" t="str">
        <f t="shared" si="54"/>
        <v/>
      </c>
    </row>
    <row r="845" spans="8:13" x14ac:dyDescent="0.3">
      <c r="H845" t="str">
        <f t="shared" si="55"/>
        <v/>
      </c>
      <c r="I845" t="str">
        <f>IFERROR(VLOOKUP(H845,List!A:B, 2, FALSE), "")</f>
        <v/>
      </c>
      <c r="K845" t="str">
        <f t="shared" si="52"/>
        <v/>
      </c>
      <c r="L845" t="str">
        <f t="shared" si="53"/>
        <v/>
      </c>
      <c r="M845" t="str">
        <f t="shared" si="54"/>
        <v/>
      </c>
    </row>
    <row r="846" spans="8:13" x14ac:dyDescent="0.3">
      <c r="H846" t="str">
        <f t="shared" si="55"/>
        <v/>
      </c>
      <c r="I846" t="str">
        <f>IFERROR(VLOOKUP(H846,List!A:B, 2, FALSE), "")</f>
        <v/>
      </c>
      <c r="K846" t="str">
        <f t="shared" si="52"/>
        <v/>
      </c>
      <c r="L846" t="str">
        <f t="shared" si="53"/>
        <v/>
      </c>
      <c r="M846" t="str">
        <f t="shared" si="54"/>
        <v/>
      </c>
    </row>
    <row r="847" spans="8:13" x14ac:dyDescent="0.3">
      <c r="H847" t="str">
        <f t="shared" si="55"/>
        <v/>
      </c>
      <c r="I847" t="str">
        <f>IFERROR(VLOOKUP(H847,List!A:B, 2, FALSE), "")</f>
        <v/>
      </c>
      <c r="K847" t="str">
        <f t="shared" si="52"/>
        <v/>
      </c>
      <c r="L847" t="str">
        <f t="shared" si="53"/>
        <v/>
      </c>
      <c r="M847" t="str">
        <f t="shared" si="54"/>
        <v/>
      </c>
    </row>
    <row r="848" spans="8:13" x14ac:dyDescent="0.3">
      <c r="H848" t="str">
        <f t="shared" si="55"/>
        <v/>
      </c>
      <c r="I848" t="str">
        <f>IFERROR(VLOOKUP(H848,List!A:B, 2, FALSE), "")</f>
        <v/>
      </c>
      <c r="K848" t="str">
        <f t="shared" si="52"/>
        <v/>
      </c>
      <c r="L848" t="str">
        <f t="shared" si="53"/>
        <v/>
      </c>
      <c r="M848" t="str">
        <f t="shared" si="54"/>
        <v/>
      </c>
    </row>
    <row r="849" spans="8:13" x14ac:dyDescent="0.3">
      <c r="H849" t="str">
        <f t="shared" si="55"/>
        <v/>
      </c>
      <c r="I849" t="str">
        <f>IFERROR(VLOOKUP(H849,List!A:B, 2, FALSE), "")</f>
        <v/>
      </c>
      <c r="K849" t="str">
        <f t="shared" si="52"/>
        <v/>
      </c>
      <c r="L849" t="str">
        <f t="shared" si="53"/>
        <v/>
      </c>
      <c r="M849" t="str">
        <f t="shared" si="54"/>
        <v/>
      </c>
    </row>
    <row r="850" spans="8:13" x14ac:dyDescent="0.3">
      <c r="H850" t="str">
        <f t="shared" si="55"/>
        <v/>
      </c>
      <c r="I850" t="str">
        <f>IFERROR(VLOOKUP(H850,List!A:B, 2, FALSE), "")</f>
        <v/>
      </c>
      <c r="K850" t="str">
        <f t="shared" si="52"/>
        <v/>
      </c>
      <c r="L850" t="str">
        <f t="shared" si="53"/>
        <v/>
      </c>
      <c r="M850" t="str">
        <f t="shared" si="54"/>
        <v/>
      </c>
    </row>
    <row r="851" spans="8:13" x14ac:dyDescent="0.3">
      <c r="H851" t="str">
        <f t="shared" si="55"/>
        <v/>
      </c>
      <c r="I851" t="str">
        <f>IFERROR(VLOOKUP(H851,List!A:B, 2, FALSE), "")</f>
        <v/>
      </c>
      <c r="K851" t="str">
        <f t="shared" si="52"/>
        <v/>
      </c>
      <c r="L851" t="str">
        <f t="shared" si="53"/>
        <v/>
      </c>
      <c r="M851" t="str">
        <f t="shared" si="54"/>
        <v/>
      </c>
    </row>
    <row r="852" spans="8:13" x14ac:dyDescent="0.3">
      <c r="H852" t="str">
        <f t="shared" si="55"/>
        <v/>
      </c>
      <c r="I852" t="str">
        <f>IFERROR(VLOOKUP(H852,List!A:B, 2, FALSE), "")</f>
        <v/>
      </c>
      <c r="K852" t="str">
        <f t="shared" si="52"/>
        <v/>
      </c>
      <c r="L852" t="str">
        <f t="shared" si="53"/>
        <v/>
      </c>
      <c r="M852" t="str">
        <f t="shared" si="54"/>
        <v/>
      </c>
    </row>
    <row r="853" spans="8:13" x14ac:dyDescent="0.3">
      <c r="H853" t="str">
        <f t="shared" si="55"/>
        <v/>
      </c>
      <c r="I853" t="str">
        <f>IFERROR(VLOOKUP(H853,List!A:B, 2, FALSE), "")</f>
        <v/>
      </c>
      <c r="K853" t="str">
        <f t="shared" si="52"/>
        <v/>
      </c>
      <c r="L853" t="str">
        <f t="shared" si="53"/>
        <v/>
      </c>
      <c r="M853" t="str">
        <f t="shared" si="54"/>
        <v/>
      </c>
    </row>
    <row r="854" spans="8:13" x14ac:dyDescent="0.3">
      <c r="H854" t="str">
        <f t="shared" si="55"/>
        <v/>
      </c>
      <c r="I854" t="str">
        <f>IFERROR(VLOOKUP(H854,List!A:B, 2, FALSE), "")</f>
        <v/>
      </c>
      <c r="K854" t="str">
        <f t="shared" si="52"/>
        <v/>
      </c>
      <c r="L854" t="str">
        <f t="shared" si="53"/>
        <v/>
      </c>
      <c r="M854" t="str">
        <f t="shared" si="54"/>
        <v/>
      </c>
    </row>
    <row r="855" spans="8:13" x14ac:dyDescent="0.3">
      <c r="H855" t="str">
        <f t="shared" si="55"/>
        <v/>
      </c>
      <c r="I855" t="str">
        <f>IFERROR(VLOOKUP(H855,List!A:B, 2, FALSE), "")</f>
        <v/>
      </c>
      <c r="K855" t="str">
        <f t="shared" si="52"/>
        <v/>
      </c>
      <c r="L855" t="str">
        <f t="shared" si="53"/>
        <v/>
      </c>
      <c r="M855" t="str">
        <f t="shared" si="54"/>
        <v/>
      </c>
    </row>
    <row r="856" spans="8:13" x14ac:dyDescent="0.3">
      <c r="H856" t="str">
        <f t="shared" si="55"/>
        <v/>
      </c>
      <c r="I856" t="str">
        <f>IFERROR(VLOOKUP(H856,List!A:B, 2, FALSE), "")</f>
        <v/>
      </c>
      <c r="K856" t="str">
        <f t="shared" si="52"/>
        <v/>
      </c>
      <c r="L856" t="str">
        <f t="shared" si="53"/>
        <v/>
      </c>
      <c r="M856" t="str">
        <f t="shared" si="54"/>
        <v/>
      </c>
    </row>
    <row r="857" spans="8:13" x14ac:dyDescent="0.3">
      <c r="H857" t="str">
        <f t="shared" si="55"/>
        <v/>
      </c>
      <c r="I857" t="str">
        <f>IFERROR(VLOOKUP(H857,List!A:B, 2, FALSE), "")</f>
        <v/>
      </c>
      <c r="K857" t="str">
        <f t="shared" si="52"/>
        <v/>
      </c>
      <c r="L857" t="str">
        <f t="shared" si="53"/>
        <v/>
      </c>
      <c r="M857" t="str">
        <f t="shared" si="54"/>
        <v/>
      </c>
    </row>
    <row r="858" spans="8:13" x14ac:dyDescent="0.3">
      <c r="H858" t="str">
        <f t="shared" si="55"/>
        <v/>
      </c>
      <c r="I858" t="str">
        <f>IFERROR(VLOOKUP(H858,List!A:B, 2, FALSE), "")</f>
        <v/>
      </c>
      <c r="K858" t="str">
        <f t="shared" si="52"/>
        <v/>
      </c>
      <c r="L858" t="str">
        <f t="shared" si="53"/>
        <v/>
      </c>
      <c r="M858" t="str">
        <f t="shared" si="54"/>
        <v/>
      </c>
    </row>
    <row r="859" spans="8:13" x14ac:dyDescent="0.3">
      <c r="H859" t="str">
        <f t="shared" si="55"/>
        <v/>
      </c>
      <c r="I859" t="str">
        <f>IFERROR(VLOOKUP(H859,List!A:B, 2, FALSE), "")</f>
        <v/>
      </c>
      <c r="K859" t="str">
        <f t="shared" si="52"/>
        <v/>
      </c>
      <c r="L859" t="str">
        <f t="shared" si="53"/>
        <v/>
      </c>
      <c r="M859" t="str">
        <f t="shared" si="54"/>
        <v/>
      </c>
    </row>
    <row r="860" spans="8:13" x14ac:dyDescent="0.3">
      <c r="H860" t="str">
        <f t="shared" si="55"/>
        <v/>
      </c>
      <c r="I860" t="str">
        <f>IFERROR(VLOOKUP(H860,List!A:B, 2, FALSE), "")</f>
        <v/>
      </c>
      <c r="K860" t="str">
        <f t="shared" si="52"/>
        <v/>
      </c>
      <c r="L860" t="str">
        <f t="shared" si="53"/>
        <v/>
      </c>
      <c r="M860" t="str">
        <f t="shared" si="54"/>
        <v/>
      </c>
    </row>
    <row r="861" spans="8:13" x14ac:dyDescent="0.3">
      <c r="H861" t="str">
        <f t="shared" si="55"/>
        <v/>
      </c>
      <c r="I861" t="str">
        <f>IFERROR(VLOOKUP(H861,List!A:B, 2, FALSE), "")</f>
        <v/>
      </c>
      <c r="K861" t="str">
        <f t="shared" si="52"/>
        <v/>
      </c>
      <c r="L861" t="str">
        <f t="shared" si="53"/>
        <v/>
      </c>
      <c r="M861" t="str">
        <f t="shared" si="54"/>
        <v/>
      </c>
    </row>
    <row r="862" spans="8:13" x14ac:dyDescent="0.3">
      <c r="H862" t="str">
        <f t="shared" si="55"/>
        <v/>
      </c>
      <c r="I862" t="str">
        <f>IFERROR(VLOOKUP(H862,List!A:B, 2, FALSE), "")</f>
        <v/>
      </c>
      <c r="K862" t="str">
        <f t="shared" si="52"/>
        <v/>
      </c>
      <c r="L862" t="str">
        <f t="shared" si="53"/>
        <v/>
      </c>
      <c r="M862" t="str">
        <f t="shared" si="54"/>
        <v/>
      </c>
    </row>
    <row r="863" spans="8:13" x14ac:dyDescent="0.3">
      <c r="H863" t="str">
        <f t="shared" si="55"/>
        <v/>
      </c>
      <c r="I863" t="str">
        <f>IFERROR(VLOOKUP(H863,List!A:B, 2, FALSE), "")</f>
        <v/>
      </c>
      <c r="K863" t="str">
        <f t="shared" si="52"/>
        <v/>
      </c>
      <c r="L863" t="str">
        <f t="shared" si="53"/>
        <v/>
      </c>
      <c r="M863" t="str">
        <f t="shared" si="54"/>
        <v/>
      </c>
    </row>
    <row r="864" spans="8:13" x14ac:dyDescent="0.3">
      <c r="H864" t="str">
        <f t="shared" si="55"/>
        <v/>
      </c>
      <c r="I864" t="str">
        <f>IFERROR(VLOOKUP(H864,List!A:B, 2, FALSE), "")</f>
        <v/>
      </c>
      <c r="K864" t="str">
        <f t="shared" si="52"/>
        <v/>
      </c>
      <c r="L864" t="str">
        <f t="shared" si="53"/>
        <v/>
      </c>
      <c r="M864" t="str">
        <f t="shared" si="54"/>
        <v/>
      </c>
    </row>
    <row r="865" spans="8:13" x14ac:dyDescent="0.3">
      <c r="H865" t="str">
        <f t="shared" si="55"/>
        <v/>
      </c>
      <c r="I865" t="str">
        <f>IFERROR(VLOOKUP(H865,List!A:B, 2, FALSE), "")</f>
        <v/>
      </c>
      <c r="K865" t="str">
        <f t="shared" si="52"/>
        <v/>
      </c>
      <c r="L865" t="str">
        <f t="shared" si="53"/>
        <v/>
      </c>
      <c r="M865" t="str">
        <f t="shared" si="54"/>
        <v/>
      </c>
    </row>
    <row r="866" spans="8:13" x14ac:dyDescent="0.3">
      <c r="H866" t="str">
        <f t="shared" si="55"/>
        <v/>
      </c>
      <c r="I866" t="str">
        <f>IFERROR(VLOOKUP(H866,List!A:B, 2, FALSE), "")</f>
        <v/>
      </c>
      <c r="K866" t="str">
        <f t="shared" si="52"/>
        <v/>
      </c>
      <c r="L866" t="str">
        <f t="shared" si="53"/>
        <v/>
      </c>
      <c r="M866" t="str">
        <f t="shared" si="54"/>
        <v/>
      </c>
    </row>
    <row r="867" spans="8:13" x14ac:dyDescent="0.3">
      <c r="H867" t="str">
        <f t="shared" si="55"/>
        <v/>
      </c>
      <c r="I867" t="str">
        <f>IFERROR(VLOOKUP(H867,List!A:B, 2, FALSE), "")</f>
        <v/>
      </c>
      <c r="K867" t="str">
        <f t="shared" si="52"/>
        <v/>
      </c>
      <c r="L867" t="str">
        <f t="shared" si="53"/>
        <v/>
      </c>
      <c r="M867" t="str">
        <f t="shared" si="54"/>
        <v/>
      </c>
    </row>
    <row r="868" spans="8:13" x14ac:dyDescent="0.3">
      <c r="H868" t="str">
        <f t="shared" si="55"/>
        <v/>
      </c>
      <c r="I868" t="str">
        <f>IFERROR(VLOOKUP(H868,List!A:B, 2, FALSE), "")</f>
        <v/>
      </c>
      <c r="K868" t="str">
        <f t="shared" si="52"/>
        <v/>
      </c>
      <c r="L868" t="str">
        <f t="shared" si="53"/>
        <v/>
      </c>
      <c r="M868" t="str">
        <f t="shared" si="54"/>
        <v/>
      </c>
    </row>
    <row r="869" spans="8:13" x14ac:dyDescent="0.3">
      <c r="H869" t="str">
        <f t="shared" si="55"/>
        <v/>
      </c>
      <c r="I869" t="str">
        <f>IFERROR(VLOOKUP(H869,List!A:B, 2, FALSE), "")</f>
        <v/>
      </c>
      <c r="K869" t="str">
        <f t="shared" si="52"/>
        <v/>
      </c>
      <c r="L869" t="str">
        <f t="shared" si="53"/>
        <v/>
      </c>
      <c r="M869" t="str">
        <f t="shared" si="54"/>
        <v/>
      </c>
    </row>
    <row r="870" spans="8:13" x14ac:dyDescent="0.3">
      <c r="H870" t="str">
        <f t="shared" si="55"/>
        <v/>
      </c>
      <c r="I870" t="str">
        <f>IFERROR(VLOOKUP(H870,List!A:B, 2, FALSE), "")</f>
        <v/>
      </c>
      <c r="K870" t="str">
        <f t="shared" si="52"/>
        <v/>
      </c>
      <c r="L870" t="str">
        <f t="shared" si="53"/>
        <v/>
      </c>
      <c r="M870" t="str">
        <f t="shared" si="54"/>
        <v/>
      </c>
    </row>
    <row r="871" spans="8:13" x14ac:dyDescent="0.3">
      <c r="H871" t="str">
        <f t="shared" si="55"/>
        <v/>
      </c>
      <c r="I871" t="str">
        <f>IFERROR(VLOOKUP(H871,List!A:B, 2, FALSE), "")</f>
        <v/>
      </c>
      <c r="K871" t="str">
        <f t="shared" si="52"/>
        <v/>
      </c>
      <c r="L871" t="str">
        <f t="shared" si="53"/>
        <v/>
      </c>
      <c r="M871" t="str">
        <f t="shared" si="54"/>
        <v/>
      </c>
    </row>
    <row r="872" spans="8:13" x14ac:dyDescent="0.3">
      <c r="H872" t="str">
        <f t="shared" si="55"/>
        <v/>
      </c>
      <c r="I872" t="str">
        <f>IFERROR(VLOOKUP(H872,List!A:B, 2, FALSE), "")</f>
        <v/>
      </c>
      <c r="K872" t="str">
        <f t="shared" si="52"/>
        <v/>
      </c>
      <c r="L872" t="str">
        <f t="shared" si="53"/>
        <v/>
      </c>
      <c r="M872" t="str">
        <f t="shared" si="54"/>
        <v/>
      </c>
    </row>
    <row r="873" spans="8:13" x14ac:dyDescent="0.3">
      <c r="H873" t="str">
        <f t="shared" si="55"/>
        <v/>
      </c>
      <c r="I873" t="str">
        <f>IFERROR(VLOOKUP(H873,List!A:B, 2, FALSE), "")</f>
        <v/>
      </c>
      <c r="K873" t="str">
        <f t="shared" si="52"/>
        <v/>
      </c>
      <c r="L873" t="str">
        <f t="shared" si="53"/>
        <v/>
      </c>
      <c r="M873" t="str">
        <f t="shared" si="54"/>
        <v/>
      </c>
    </row>
    <row r="874" spans="8:13" x14ac:dyDescent="0.3">
      <c r="H874" t="str">
        <f t="shared" si="55"/>
        <v/>
      </c>
      <c r="I874" t="str">
        <f>IFERROR(VLOOKUP(H874,List!A:B, 2, FALSE), "")</f>
        <v/>
      </c>
      <c r="K874" t="str">
        <f t="shared" si="52"/>
        <v/>
      </c>
      <c r="L874" t="str">
        <f t="shared" si="53"/>
        <v/>
      </c>
      <c r="M874" t="str">
        <f t="shared" si="54"/>
        <v/>
      </c>
    </row>
    <row r="875" spans="8:13" x14ac:dyDescent="0.3">
      <c r="H875" t="str">
        <f t="shared" si="55"/>
        <v/>
      </c>
      <c r="I875" t="str">
        <f>IFERROR(VLOOKUP(H875,List!A:B, 2, FALSE), "")</f>
        <v/>
      </c>
      <c r="K875" t="str">
        <f t="shared" si="52"/>
        <v/>
      </c>
      <c r="L875" t="str">
        <f t="shared" si="53"/>
        <v/>
      </c>
      <c r="M875" t="str">
        <f t="shared" si="54"/>
        <v/>
      </c>
    </row>
    <row r="876" spans="8:13" x14ac:dyDescent="0.3">
      <c r="H876" t="str">
        <f t="shared" si="55"/>
        <v/>
      </c>
      <c r="I876" t="str">
        <f>IFERROR(VLOOKUP(H876,List!A:B, 2, FALSE), "")</f>
        <v/>
      </c>
      <c r="K876" t="str">
        <f t="shared" si="52"/>
        <v/>
      </c>
      <c r="L876" t="str">
        <f t="shared" si="53"/>
        <v/>
      </c>
      <c r="M876" t="str">
        <f t="shared" si="54"/>
        <v/>
      </c>
    </row>
    <row r="877" spans="8:13" x14ac:dyDescent="0.3">
      <c r="H877" t="str">
        <f t="shared" si="55"/>
        <v/>
      </c>
      <c r="I877" t="str">
        <f>IFERROR(VLOOKUP(H877,List!A:B, 2, FALSE), "")</f>
        <v/>
      </c>
      <c r="K877" t="str">
        <f t="shared" si="52"/>
        <v/>
      </c>
      <c r="L877" t="str">
        <f t="shared" si="53"/>
        <v/>
      </c>
      <c r="M877" t="str">
        <f t="shared" si="54"/>
        <v/>
      </c>
    </row>
    <row r="878" spans="8:13" x14ac:dyDescent="0.3">
      <c r="H878" t="str">
        <f t="shared" si="55"/>
        <v/>
      </c>
      <c r="I878" t="str">
        <f>IFERROR(VLOOKUP(H878,List!A:B, 2, FALSE), "")</f>
        <v/>
      </c>
      <c r="K878" t="str">
        <f t="shared" si="52"/>
        <v/>
      </c>
      <c r="L878" t="str">
        <f t="shared" si="53"/>
        <v/>
      </c>
      <c r="M878" t="str">
        <f t="shared" si="54"/>
        <v/>
      </c>
    </row>
    <row r="879" spans="8:13" x14ac:dyDescent="0.3">
      <c r="H879" t="str">
        <f t="shared" si="55"/>
        <v/>
      </c>
      <c r="I879" t="str">
        <f>IFERROR(VLOOKUP(H879,List!A:B, 2, FALSE), "")</f>
        <v/>
      </c>
      <c r="K879" t="str">
        <f t="shared" si="52"/>
        <v/>
      </c>
      <c r="L879" t="str">
        <f t="shared" si="53"/>
        <v/>
      </c>
      <c r="M879" t="str">
        <f t="shared" si="54"/>
        <v/>
      </c>
    </row>
    <row r="880" spans="8:13" x14ac:dyDescent="0.3">
      <c r="H880" t="str">
        <f t="shared" si="55"/>
        <v/>
      </c>
      <c r="I880" t="str">
        <f>IFERROR(VLOOKUP(H880,List!A:B, 2, FALSE), "")</f>
        <v/>
      </c>
      <c r="K880" t="str">
        <f t="shared" si="52"/>
        <v/>
      </c>
      <c r="L880" t="str">
        <f t="shared" si="53"/>
        <v/>
      </c>
      <c r="M880" t="str">
        <f t="shared" si="54"/>
        <v/>
      </c>
    </row>
    <row r="881" spans="8:13" x14ac:dyDescent="0.3">
      <c r="H881" t="str">
        <f t="shared" si="55"/>
        <v/>
      </c>
      <c r="I881" t="str">
        <f>IFERROR(VLOOKUP(H881,List!A:B, 2, FALSE), "")</f>
        <v/>
      </c>
      <c r="K881" t="str">
        <f t="shared" si="52"/>
        <v/>
      </c>
      <c r="L881" t="str">
        <f t="shared" si="53"/>
        <v/>
      </c>
      <c r="M881" t="str">
        <f t="shared" si="54"/>
        <v/>
      </c>
    </row>
    <row r="882" spans="8:13" x14ac:dyDescent="0.3">
      <c r="H882" t="str">
        <f t="shared" si="55"/>
        <v/>
      </c>
      <c r="I882" t="str">
        <f>IFERROR(VLOOKUP(H882,List!A:B, 2, FALSE), "")</f>
        <v/>
      </c>
      <c r="K882" t="str">
        <f t="shared" si="52"/>
        <v/>
      </c>
      <c r="L882" t="str">
        <f t="shared" si="53"/>
        <v/>
      </c>
      <c r="M882" t="str">
        <f t="shared" si="54"/>
        <v/>
      </c>
    </row>
    <row r="883" spans="8:13" x14ac:dyDescent="0.3">
      <c r="H883" t="str">
        <f t="shared" si="55"/>
        <v/>
      </c>
      <c r="I883" t="str">
        <f>IFERROR(VLOOKUP(H883,List!A:B, 2, FALSE), "")</f>
        <v/>
      </c>
      <c r="K883" t="str">
        <f t="shared" si="52"/>
        <v/>
      </c>
      <c r="L883" t="str">
        <f t="shared" si="53"/>
        <v/>
      </c>
      <c r="M883" t="str">
        <f t="shared" si="54"/>
        <v/>
      </c>
    </row>
    <row r="884" spans="8:13" x14ac:dyDescent="0.3">
      <c r="H884" t="str">
        <f t="shared" si="55"/>
        <v/>
      </c>
      <c r="I884" t="str">
        <f>IFERROR(VLOOKUP(H884,List!A:B, 2, FALSE), "")</f>
        <v/>
      </c>
      <c r="K884" t="str">
        <f t="shared" si="52"/>
        <v/>
      </c>
      <c r="L884" t="str">
        <f t="shared" si="53"/>
        <v/>
      </c>
      <c r="M884" t="str">
        <f t="shared" si="54"/>
        <v/>
      </c>
    </row>
    <row r="885" spans="8:13" x14ac:dyDescent="0.3">
      <c r="H885" t="str">
        <f t="shared" si="55"/>
        <v/>
      </c>
      <c r="I885" t="str">
        <f>IFERROR(VLOOKUP(H885,List!A:B, 2, FALSE), "")</f>
        <v/>
      </c>
      <c r="K885" t="str">
        <f t="shared" si="52"/>
        <v/>
      </c>
      <c r="L885" t="str">
        <f t="shared" si="53"/>
        <v/>
      </c>
      <c r="M885" t="str">
        <f t="shared" si="54"/>
        <v/>
      </c>
    </row>
    <row r="886" spans="8:13" x14ac:dyDescent="0.3">
      <c r="H886" t="str">
        <f t="shared" si="55"/>
        <v/>
      </c>
      <c r="I886" t="str">
        <f>IFERROR(VLOOKUP(H886,List!A:B, 2, FALSE), "")</f>
        <v/>
      </c>
      <c r="K886" t="str">
        <f t="shared" si="52"/>
        <v/>
      </c>
      <c r="L886" t="str">
        <f t="shared" si="53"/>
        <v/>
      </c>
      <c r="M886" t="str">
        <f t="shared" si="54"/>
        <v/>
      </c>
    </row>
    <row r="887" spans="8:13" x14ac:dyDescent="0.3">
      <c r="H887" t="str">
        <f t="shared" si="55"/>
        <v/>
      </c>
      <c r="I887" t="str">
        <f>IFERROR(VLOOKUP(H887,List!A:B, 2, FALSE), "")</f>
        <v/>
      </c>
      <c r="K887" t="str">
        <f t="shared" si="52"/>
        <v/>
      </c>
      <c r="L887" t="str">
        <f t="shared" si="53"/>
        <v/>
      </c>
      <c r="M887" t="str">
        <f t="shared" si="54"/>
        <v/>
      </c>
    </row>
    <row r="888" spans="8:13" x14ac:dyDescent="0.3">
      <c r="H888" t="str">
        <f t="shared" si="55"/>
        <v/>
      </c>
      <c r="I888" t="str">
        <f>IFERROR(VLOOKUP(H888,List!A:B, 2, FALSE), "")</f>
        <v/>
      </c>
      <c r="K888" t="str">
        <f t="shared" si="52"/>
        <v/>
      </c>
      <c r="L888" t="str">
        <f t="shared" si="53"/>
        <v/>
      </c>
      <c r="M888" t="str">
        <f t="shared" si="54"/>
        <v/>
      </c>
    </row>
    <row r="889" spans="8:13" x14ac:dyDescent="0.3">
      <c r="H889" t="str">
        <f t="shared" si="55"/>
        <v/>
      </c>
      <c r="I889" t="str">
        <f>IFERROR(VLOOKUP(H889,List!A:B, 2, FALSE), "")</f>
        <v/>
      </c>
      <c r="K889" t="str">
        <f t="shared" si="52"/>
        <v/>
      </c>
      <c r="L889" t="str">
        <f t="shared" si="53"/>
        <v/>
      </c>
      <c r="M889" t="str">
        <f t="shared" si="54"/>
        <v/>
      </c>
    </row>
    <row r="890" spans="8:13" x14ac:dyDescent="0.3">
      <c r="H890" t="str">
        <f t="shared" si="55"/>
        <v/>
      </c>
      <c r="I890" t="str">
        <f>IFERROR(VLOOKUP(H890,List!A:B, 2, FALSE), "")</f>
        <v/>
      </c>
      <c r="K890" t="str">
        <f t="shared" si="52"/>
        <v/>
      </c>
      <c r="L890" t="str">
        <f t="shared" si="53"/>
        <v/>
      </c>
      <c r="M890" t="str">
        <f t="shared" si="54"/>
        <v/>
      </c>
    </row>
    <row r="891" spans="8:13" x14ac:dyDescent="0.3">
      <c r="H891" t="str">
        <f t="shared" si="55"/>
        <v/>
      </c>
      <c r="I891" t="str">
        <f>IFERROR(VLOOKUP(H891,List!A:B, 2, FALSE), "")</f>
        <v/>
      </c>
      <c r="K891" t="str">
        <f t="shared" si="52"/>
        <v/>
      </c>
      <c r="L891" t="str">
        <f t="shared" si="53"/>
        <v/>
      </c>
      <c r="M891" t="str">
        <f t="shared" si="54"/>
        <v/>
      </c>
    </row>
    <row r="892" spans="8:13" x14ac:dyDescent="0.3">
      <c r="H892" t="str">
        <f t="shared" si="55"/>
        <v/>
      </c>
      <c r="I892" t="str">
        <f>IFERROR(VLOOKUP(H892,List!A:B, 2, FALSE), "")</f>
        <v/>
      </c>
      <c r="K892" t="str">
        <f t="shared" si="52"/>
        <v/>
      </c>
      <c r="L892" t="str">
        <f t="shared" si="53"/>
        <v/>
      </c>
      <c r="M892" t="str">
        <f t="shared" si="54"/>
        <v/>
      </c>
    </row>
    <row r="893" spans="8:13" x14ac:dyDescent="0.3">
      <c r="H893" t="str">
        <f t="shared" si="55"/>
        <v/>
      </c>
      <c r="I893" t="str">
        <f>IFERROR(VLOOKUP(H893,List!A:B, 2, FALSE), "")</f>
        <v/>
      </c>
      <c r="K893" t="str">
        <f t="shared" si="52"/>
        <v/>
      </c>
      <c r="L893" t="str">
        <f t="shared" si="53"/>
        <v/>
      </c>
      <c r="M893" t="str">
        <f t="shared" si="54"/>
        <v/>
      </c>
    </row>
    <row r="894" spans="8:13" x14ac:dyDescent="0.3">
      <c r="H894" t="str">
        <f t="shared" si="55"/>
        <v/>
      </c>
      <c r="I894" t="str">
        <f>IFERROR(VLOOKUP(H894,List!A:B, 2, FALSE), "")</f>
        <v/>
      </c>
      <c r="K894" t="str">
        <f t="shared" si="52"/>
        <v/>
      </c>
      <c r="L894" t="str">
        <f t="shared" si="53"/>
        <v/>
      </c>
      <c r="M894" t="str">
        <f t="shared" si="54"/>
        <v/>
      </c>
    </row>
    <row r="895" spans="8:13" x14ac:dyDescent="0.3">
      <c r="H895" t="str">
        <f t="shared" si="55"/>
        <v/>
      </c>
      <c r="I895" t="str">
        <f>IFERROR(VLOOKUP(H895,List!A:B, 2, FALSE), "")</f>
        <v/>
      </c>
      <c r="K895" t="str">
        <f t="shared" si="52"/>
        <v/>
      </c>
      <c r="L895" t="str">
        <f t="shared" si="53"/>
        <v/>
      </c>
      <c r="M895" t="str">
        <f t="shared" si="54"/>
        <v/>
      </c>
    </row>
    <row r="896" spans="8:13" x14ac:dyDescent="0.3">
      <c r="H896" t="str">
        <f t="shared" si="55"/>
        <v/>
      </c>
      <c r="I896" t="str">
        <f>IFERROR(VLOOKUP(H896,List!A:B, 2, FALSE), "")</f>
        <v/>
      </c>
      <c r="K896" t="str">
        <f t="shared" si="52"/>
        <v/>
      </c>
      <c r="L896" t="str">
        <f t="shared" si="53"/>
        <v/>
      </c>
      <c r="M896" t="str">
        <f t="shared" si="54"/>
        <v/>
      </c>
    </row>
    <row r="897" spans="8:13" x14ac:dyDescent="0.3">
      <c r="H897" t="str">
        <f t="shared" si="55"/>
        <v/>
      </c>
      <c r="I897" t="str">
        <f>IFERROR(VLOOKUP(H897,List!A:B, 2, FALSE), "")</f>
        <v/>
      </c>
      <c r="K897" t="str">
        <f t="shared" si="52"/>
        <v/>
      </c>
      <c r="L897" t="str">
        <f t="shared" si="53"/>
        <v/>
      </c>
      <c r="M897" t="str">
        <f t="shared" si="54"/>
        <v/>
      </c>
    </row>
    <row r="898" spans="8:13" x14ac:dyDescent="0.3">
      <c r="H898" t="str">
        <f t="shared" si="55"/>
        <v/>
      </c>
      <c r="I898" t="str">
        <f>IFERROR(VLOOKUP(H898,List!A:B, 2, FALSE), "")</f>
        <v/>
      </c>
      <c r="K898" t="str">
        <f t="shared" si="52"/>
        <v/>
      </c>
      <c r="L898" t="str">
        <f t="shared" si="53"/>
        <v/>
      </c>
      <c r="M898" t="str">
        <f t="shared" si="54"/>
        <v/>
      </c>
    </row>
    <row r="899" spans="8:13" x14ac:dyDescent="0.3">
      <c r="H899" t="str">
        <f t="shared" si="55"/>
        <v/>
      </c>
      <c r="I899" t="str">
        <f>IFERROR(VLOOKUP(H899,List!A:B, 2, FALSE), "")</f>
        <v/>
      </c>
      <c r="K899" t="str">
        <f t="shared" ref="K899:K962" si="56">SUBSTITUTE(SUBSTITUTE(SUBSTITUTE(SUBSTITUTE(C899,"-",""),"+",""),"p:","")," ","")</f>
        <v/>
      </c>
      <c r="L899" t="str">
        <f t="shared" ref="L899:L962" si="57">K899</f>
        <v/>
      </c>
      <c r="M899" t="str">
        <f t="shared" ref="M899:M962" si="58">IF(LEFT(L899, 2) = "91", RIGHT(L899, LEN(L899) - 2),
 IF(LEFT(L899, 3) = "971", RIGHT(L899, LEN(L899) - 3),
  IF(LEFT(L899, 2) = "92", RIGHT(L899, LEN(L899) - 2),
   IF(LEFT(L899, 3) = "974", RIGHT(L899, LEN(L899) - 3),
    IF(LEFT(L899, 2) = "60", RIGHT(L899, LEN(L899) - 2),
     IF(LEFT(L899, 2) = "65", RIGHT(L899, LEN(L899) - 2),
      IF(LEFT(L899, 3) = "966", RIGHT(L899, LEN(L899) - 3),
       IF(LEFT(L899, 3) = "967", RIGHT(L899, LEN(L899) - 3),
        IF(LEFT(L899, 3) = "968", RIGHT(L899, LEN(L899) - 3),
         IF(LEFT(L899, 3) = "249", RIGHT(L899, LEN(L899) - 3),
          IF(LEFT(L899, 3) = "213", RIGHT(L899, LEN(L899) - 3),
           IF(LEFT(L899, 3) = "965", RIGHT(L899, LEN(L899) - 3),
            IF(LEFT(L899, 3) = "1", RIGHT(L899, LEN(L899) - 1),
             IF(LEFT(L899, 3) = "973", RIGHT(L899, LEN(L899) - 3),
              IF(LEFT(L899, 3) = "233", RIGHT(L899, LEN(L899) - 3),
               IF(LEFT(L899, 3) = "977", RIGHT(L899, LEN(L899) - 3),
                IF(LEFT(L899, 2) = "20", RIGHT(L899, LEN(L899) - 2),
                 L899
                )
               )
              )
             )
            )
           )
          )
         )
        )
       )
      )
     )
    )
   )
  )
 )
)</f>
        <v/>
      </c>
    </row>
    <row r="900" spans="8:13" x14ac:dyDescent="0.3">
      <c r="H900" t="str">
        <f t="shared" si="55"/>
        <v/>
      </c>
      <c r="I900" t="str">
        <f>IFERROR(VLOOKUP(H900,List!A:B, 2, FALSE), "")</f>
        <v/>
      </c>
      <c r="K900" t="str">
        <f t="shared" si="56"/>
        <v/>
      </c>
      <c r="L900" t="str">
        <f t="shared" si="57"/>
        <v/>
      </c>
      <c r="M900" t="str">
        <f t="shared" si="58"/>
        <v/>
      </c>
    </row>
    <row r="901" spans="8:13" x14ac:dyDescent="0.3">
      <c r="H901" t="str">
        <f t="shared" si="55"/>
        <v/>
      </c>
      <c r="I901" t="str">
        <f>IFERROR(VLOOKUP(H901,List!A:B, 2, FALSE), "")</f>
        <v/>
      </c>
      <c r="K901" t="str">
        <f t="shared" si="56"/>
        <v/>
      </c>
      <c r="L901" t="str">
        <f t="shared" si="57"/>
        <v/>
      </c>
      <c r="M901" t="str">
        <f t="shared" si="58"/>
        <v/>
      </c>
    </row>
    <row r="902" spans="8:13" x14ac:dyDescent="0.3">
      <c r="H902" t="str">
        <f t="shared" si="55"/>
        <v/>
      </c>
      <c r="I902" t="str">
        <f>IFERROR(VLOOKUP(H902,List!A:B, 2, FALSE), "")</f>
        <v/>
      </c>
      <c r="K902" t="str">
        <f t="shared" si="56"/>
        <v/>
      </c>
      <c r="L902" t="str">
        <f t="shared" si="57"/>
        <v/>
      </c>
      <c r="M902" t="str">
        <f t="shared" si="58"/>
        <v/>
      </c>
    </row>
    <row r="903" spans="8:13" x14ac:dyDescent="0.3">
      <c r="H903" t="str">
        <f t="shared" ref="H903:H966" si="59">IF(N903=0,"","")</f>
        <v/>
      </c>
      <c r="I903" t="str">
        <f>IFERROR(VLOOKUP(H903,List!A:B, 2, FALSE), "")</f>
        <v/>
      </c>
      <c r="K903" t="str">
        <f t="shared" si="56"/>
        <v/>
      </c>
      <c r="L903" t="str">
        <f t="shared" si="57"/>
        <v/>
      </c>
      <c r="M903" t="str">
        <f t="shared" si="58"/>
        <v/>
      </c>
    </row>
    <row r="904" spans="8:13" x14ac:dyDescent="0.3">
      <c r="H904" t="str">
        <f t="shared" si="59"/>
        <v/>
      </c>
      <c r="I904" t="str">
        <f>IFERROR(VLOOKUP(H904,List!A:B, 2, FALSE), "")</f>
        <v/>
      </c>
      <c r="K904" t="str">
        <f t="shared" si="56"/>
        <v/>
      </c>
      <c r="L904" t="str">
        <f t="shared" si="57"/>
        <v/>
      </c>
      <c r="M904" t="str">
        <f t="shared" si="58"/>
        <v/>
      </c>
    </row>
    <row r="905" spans="8:13" x14ac:dyDescent="0.3">
      <c r="H905" t="str">
        <f t="shared" si="59"/>
        <v/>
      </c>
      <c r="I905" t="str">
        <f>IFERROR(VLOOKUP(H905,List!A:B, 2, FALSE), "")</f>
        <v/>
      </c>
      <c r="K905" t="str">
        <f t="shared" si="56"/>
        <v/>
      </c>
      <c r="L905" t="str">
        <f t="shared" si="57"/>
        <v/>
      </c>
      <c r="M905" t="str">
        <f t="shared" si="58"/>
        <v/>
      </c>
    </row>
    <row r="906" spans="8:13" x14ac:dyDescent="0.3">
      <c r="H906" t="str">
        <f t="shared" si="59"/>
        <v/>
      </c>
      <c r="I906" t="str">
        <f>IFERROR(VLOOKUP(H906,List!A:B, 2, FALSE), "")</f>
        <v/>
      </c>
      <c r="K906" t="str">
        <f t="shared" si="56"/>
        <v/>
      </c>
      <c r="L906" t="str">
        <f t="shared" si="57"/>
        <v/>
      </c>
      <c r="M906" t="str">
        <f t="shared" si="58"/>
        <v/>
      </c>
    </row>
    <row r="907" spans="8:13" x14ac:dyDescent="0.3">
      <c r="H907" t="str">
        <f t="shared" si="59"/>
        <v/>
      </c>
      <c r="I907" t="str">
        <f>IFERROR(VLOOKUP(H907,List!A:B, 2, FALSE), "")</f>
        <v/>
      </c>
      <c r="K907" t="str">
        <f t="shared" si="56"/>
        <v/>
      </c>
      <c r="L907" t="str">
        <f t="shared" si="57"/>
        <v/>
      </c>
      <c r="M907" t="str">
        <f t="shared" si="58"/>
        <v/>
      </c>
    </row>
    <row r="908" spans="8:13" x14ac:dyDescent="0.3">
      <c r="H908" t="str">
        <f t="shared" si="59"/>
        <v/>
      </c>
      <c r="I908" t="str">
        <f>IFERROR(VLOOKUP(H908,List!A:B, 2, FALSE), "")</f>
        <v/>
      </c>
      <c r="K908" t="str">
        <f t="shared" si="56"/>
        <v/>
      </c>
      <c r="L908" t="str">
        <f t="shared" si="57"/>
        <v/>
      </c>
      <c r="M908" t="str">
        <f t="shared" si="58"/>
        <v/>
      </c>
    </row>
    <row r="909" spans="8:13" x14ac:dyDescent="0.3">
      <c r="H909" t="str">
        <f t="shared" si="59"/>
        <v/>
      </c>
      <c r="I909" t="str">
        <f>IFERROR(VLOOKUP(H909,List!A:B, 2, FALSE), "")</f>
        <v/>
      </c>
      <c r="K909" t="str">
        <f t="shared" si="56"/>
        <v/>
      </c>
      <c r="L909" t="str">
        <f t="shared" si="57"/>
        <v/>
      </c>
      <c r="M909" t="str">
        <f t="shared" si="58"/>
        <v/>
      </c>
    </row>
    <row r="910" spans="8:13" x14ac:dyDescent="0.3">
      <c r="H910" t="str">
        <f t="shared" si="59"/>
        <v/>
      </c>
      <c r="I910" t="str">
        <f>IFERROR(VLOOKUP(H910,List!A:B, 2, FALSE), "")</f>
        <v/>
      </c>
      <c r="K910" t="str">
        <f t="shared" si="56"/>
        <v/>
      </c>
      <c r="L910" t="str">
        <f t="shared" si="57"/>
        <v/>
      </c>
      <c r="M910" t="str">
        <f t="shared" si="58"/>
        <v/>
      </c>
    </row>
    <row r="911" spans="8:13" x14ac:dyDescent="0.3">
      <c r="H911" t="str">
        <f t="shared" si="59"/>
        <v/>
      </c>
      <c r="I911" t="str">
        <f>IFERROR(VLOOKUP(H911,List!A:B, 2, FALSE), "")</f>
        <v/>
      </c>
      <c r="K911" t="str">
        <f t="shared" si="56"/>
        <v/>
      </c>
      <c r="L911" t="str">
        <f t="shared" si="57"/>
        <v/>
      </c>
      <c r="M911" t="str">
        <f t="shared" si="58"/>
        <v/>
      </c>
    </row>
    <row r="912" spans="8:13" x14ac:dyDescent="0.3">
      <c r="H912" t="str">
        <f t="shared" si="59"/>
        <v/>
      </c>
      <c r="I912" t="str">
        <f>IFERROR(VLOOKUP(H912,List!A:B, 2, FALSE), "")</f>
        <v/>
      </c>
      <c r="K912" t="str">
        <f t="shared" si="56"/>
        <v/>
      </c>
      <c r="L912" t="str">
        <f t="shared" si="57"/>
        <v/>
      </c>
      <c r="M912" t="str">
        <f t="shared" si="58"/>
        <v/>
      </c>
    </row>
    <row r="913" spans="8:13" x14ac:dyDescent="0.3">
      <c r="H913" t="str">
        <f t="shared" si="59"/>
        <v/>
      </c>
      <c r="I913" t="str">
        <f>IFERROR(VLOOKUP(H913,List!A:B, 2, FALSE), "")</f>
        <v/>
      </c>
      <c r="K913" t="str">
        <f t="shared" si="56"/>
        <v/>
      </c>
      <c r="L913" t="str">
        <f t="shared" si="57"/>
        <v/>
      </c>
      <c r="M913" t="str">
        <f t="shared" si="58"/>
        <v/>
      </c>
    </row>
    <row r="914" spans="8:13" x14ac:dyDescent="0.3">
      <c r="H914" t="str">
        <f t="shared" si="59"/>
        <v/>
      </c>
      <c r="I914" t="str">
        <f>IFERROR(VLOOKUP(H914,List!A:B, 2, FALSE), "")</f>
        <v/>
      </c>
      <c r="K914" t="str">
        <f t="shared" si="56"/>
        <v/>
      </c>
      <c r="L914" t="str">
        <f t="shared" si="57"/>
        <v/>
      </c>
      <c r="M914" t="str">
        <f t="shared" si="58"/>
        <v/>
      </c>
    </row>
    <row r="915" spans="8:13" x14ac:dyDescent="0.3">
      <c r="H915" t="str">
        <f t="shared" si="59"/>
        <v/>
      </c>
      <c r="I915" t="str">
        <f>IFERROR(VLOOKUP(H915,List!A:B, 2, FALSE), "")</f>
        <v/>
      </c>
      <c r="K915" t="str">
        <f t="shared" si="56"/>
        <v/>
      </c>
      <c r="L915" t="str">
        <f t="shared" si="57"/>
        <v/>
      </c>
      <c r="M915" t="str">
        <f t="shared" si="58"/>
        <v/>
      </c>
    </row>
    <row r="916" spans="8:13" x14ac:dyDescent="0.3">
      <c r="H916" t="str">
        <f t="shared" si="59"/>
        <v/>
      </c>
      <c r="I916" t="str">
        <f>IFERROR(VLOOKUP(H916,List!A:B, 2, FALSE), "")</f>
        <v/>
      </c>
      <c r="K916" t="str">
        <f t="shared" si="56"/>
        <v/>
      </c>
      <c r="L916" t="str">
        <f t="shared" si="57"/>
        <v/>
      </c>
      <c r="M916" t="str">
        <f t="shared" si="58"/>
        <v/>
      </c>
    </row>
    <row r="917" spans="8:13" x14ac:dyDescent="0.3">
      <c r="H917" t="str">
        <f t="shared" si="59"/>
        <v/>
      </c>
      <c r="I917" t="str">
        <f>IFERROR(VLOOKUP(H917,List!A:B, 2, FALSE), "")</f>
        <v/>
      </c>
      <c r="K917" t="str">
        <f t="shared" si="56"/>
        <v/>
      </c>
      <c r="L917" t="str">
        <f t="shared" si="57"/>
        <v/>
      </c>
      <c r="M917" t="str">
        <f t="shared" si="58"/>
        <v/>
      </c>
    </row>
    <row r="918" spans="8:13" x14ac:dyDescent="0.3">
      <c r="H918" t="str">
        <f t="shared" si="59"/>
        <v/>
      </c>
      <c r="I918" t="str">
        <f>IFERROR(VLOOKUP(H918,List!A:B, 2, FALSE), "")</f>
        <v/>
      </c>
      <c r="K918" t="str">
        <f t="shared" si="56"/>
        <v/>
      </c>
      <c r="L918" t="str">
        <f t="shared" si="57"/>
        <v/>
      </c>
      <c r="M918" t="str">
        <f t="shared" si="58"/>
        <v/>
      </c>
    </row>
    <row r="919" spans="8:13" x14ac:dyDescent="0.3">
      <c r="H919" t="str">
        <f t="shared" si="59"/>
        <v/>
      </c>
      <c r="I919" t="str">
        <f>IFERROR(VLOOKUP(H919,List!A:B, 2, FALSE), "")</f>
        <v/>
      </c>
      <c r="K919" t="str">
        <f t="shared" si="56"/>
        <v/>
      </c>
      <c r="L919" t="str">
        <f t="shared" si="57"/>
        <v/>
      </c>
      <c r="M919" t="str">
        <f t="shared" si="58"/>
        <v/>
      </c>
    </row>
    <row r="920" spans="8:13" x14ac:dyDescent="0.3">
      <c r="H920" t="str">
        <f t="shared" si="59"/>
        <v/>
      </c>
      <c r="I920" t="str">
        <f>IFERROR(VLOOKUP(H920,List!A:B, 2, FALSE), "")</f>
        <v/>
      </c>
      <c r="K920" t="str">
        <f t="shared" si="56"/>
        <v/>
      </c>
      <c r="L920" t="str">
        <f t="shared" si="57"/>
        <v/>
      </c>
      <c r="M920" t="str">
        <f t="shared" si="58"/>
        <v/>
      </c>
    </row>
    <row r="921" spans="8:13" x14ac:dyDescent="0.3">
      <c r="H921" t="str">
        <f t="shared" si="59"/>
        <v/>
      </c>
      <c r="I921" t="str">
        <f>IFERROR(VLOOKUP(H921,List!A:B, 2, FALSE), "")</f>
        <v/>
      </c>
      <c r="K921" t="str">
        <f t="shared" si="56"/>
        <v/>
      </c>
      <c r="L921" t="str">
        <f t="shared" si="57"/>
        <v/>
      </c>
      <c r="M921" t="str">
        <f t="shared" si="58"/>
        <v/>
      </c>
    </row>
    <row r="922" spans="8:13" x14ac:dyDescent="0.3">
      <c r="H922" t="str">
        <f t="shared" si="59"/>
        <v/>
      </c>
      <c r="I922" t="str">
        <f>IFERROR(VLOOKUP(H922,List!A:B, 2, FALSE), "")</f>
        <v/>
      </c>
      <c r="K922" t="str">
        <f t="shared" si="56"/>
        <v/>
      </c>
      <c r="L922" t="str">
        <f t="shared" si="57"/>
        <v/>
      </c>
      <c r="M922" t="str">
        <f t="shared" si="58"/>
        <v/>
      </c>
    </row>
    <row r="923" spans="8:13" x14ac:dyDescent="0.3">
      <c r="H923" t="str">
        <f t="shared" si="59"/>
        <v/>
      </c>
      <c r="I923" t="str">
        <f>IFERROR(VLOOKUP(H923,List!A:B, 2, FALSE), "")</f>
        <v/>
      </c>
      <c r="K923" t="str">
        <f t="shared" si="56"/>
        <v/>
      </c>
      <c r="L923" t="str">
        <f t="shared" si="57"/>
        <v/>
      </c>
      <c r="M923" t="str">
        <f t="shared" si="58"/>
        <v/>
      </c>
    </row>
    <row r="924" spans="8:13" x14ac:dyDescent="0.3">
      <c r="H924" t="str">
        <f t="shared" si="59"/>
        <v/>
      </c>
      <c r="I924" t="str">
        <f>IFERROR(VLOOKUP(H924,List!A:B, 2, FALSE), "")</f>
        <v/>
      </c>
      <c r="K924" t="str">
        <f t="shared" si="56"/>
        <v/>
      </c>
      <c r="L924" t="str">
        <f t="shared" si="57"/>
        <v/>
      </c>
      <c r="M924" t="str">
        <f t="shared" si="58"/>
        <v/>
      </c>
    </row>
    <row r="925" spans="8:13" x14ac:dyDescent="0.3">
      <c r="H925" t="str">
        <f t="shared" si="59"/>
        <v/>
      </c>
      <c r="I925" t="str">
        <f>IFERROR(VLOOKUP(H925,List!A:B, 2, FALSE), "")</f>
        <v/>
      </c>
      <c r="K925" t="str">
        <f t="shared" si="56"/>
        <v/>
      </c>
      <c r="L925" t="str">
        <f t="shared" si="57"/>
        <v/>
      </c>
      <c r="M925" t="str">
        <f t="shared" si="58"/>
        <v/>
      </c>
    </row>
    <row r="926" spans="8:13" x14ac:dyDescent="0.3">
      <c r="H926" t="str">
        <f t="shared" si="59"/>
        <v/>
      </c>
      <c r="I926" t="str">
        <f>IFERROR(VLOOKUP(H926,List!A:B, 2, FALSE), "")</f>
        <v/>
      </c>
      <c r="K926" t="str">
        <f t="shared" si="56"/>
        <v/>
      </c>
      <c r="L926" t="str">
        <f t="shared" si="57"/>
        <v/>
      </c>
      <c r="M926" t="str">
        <f t="shared" si="58"/>
        <v/>
      </c>
    </row>
    <row r="927" spans="8:13" x14ac:dyDescent="0.3">
      <c r="H927" t="str">
        <f t="shared" si="59"/>
        <v/>
      </c>
      <c r="I927" t="str">
        <f>IFERROR(VLOOKUP(H927,List!A:B, 2, FALSE), "")</f>
        <v/>
      </c>
      <c r="K927" t="str">
        <f t="shared" si="56"/>
        <v/>
      </c>
      <c r="L927" t="str">
        <f t="shared" si="57"/>
        <v/>
      </c>
      <c r="M927" t="str">
        <f t="shared" si="58"/>
        <v/>
      </c>
    </row>
    <row r="928" spans="8:13" x14ac:dyDescent="0.3">
      <c r="H928" t="str">
        <f t="shared" si="59"/>
        <v/>
      </c>
      <c r="I928" t="str">
        <f>IFERROR(VLOOKUP(H928,List!A:B, 2, FALSE), "")</f>
        <v/>
      </c>
      <c r="K928" t="str">
        <f t="shared" si="56"/>
        <v/>
      </c>
      <c r="L928" t="str">
        <f t="shared" si="57"/>
        <v/>
      </c>
      <c r="M928" t="str">
        <f t="shared" si="58"/>
        <v/>
      </c>
    </row>
    <row r="929" spans="8:13" x14ac:dyDescent="0.3">
      <c r="H929" t="str">
        <f t="shared" si="59"/>
        <v/>
      </c>
      <c r="I929" t="str">
        <f>IFERROR(VLOOKUP(H929,List!A:B, 2, FALSE), "")</f>
        <v/>
      </c>
      <c r="K929" t="str">
        <f t="shared" si="56"/>
        <v/>
      </c>
      <c r="L929" t="str">
        <f t="shared" si="57"/>
        <v/>
      </c>
      <c r="M929" t="str">
        <f t="shared" si="58"/>
        <v/>
      </c>
    </row>
    <row r="930" spans="8:13" x14ac:dyDescent="0.3">
      <c r="H930" t="str">
        <f t="shared" si="59"/>
        <v/>
      </c>
      <c r="I930" t="str">
        <f>IFERROR(VLOOKUP(H930,List!A:B, 2, FALSE), "")</f>
        <v/>
      </c>
      <c r="K930" t="str">
        <f t="shared" si="56"/>
        <v/>
      </c>
      <c r="L930" t="str">
        <f t="shared" si="57"/>
        <v/>
      </c>
      <c r="M930" t="str">
        <f t="shared" si="58"/>
        <v/>
      </c>
    </row>
    <row r="931" spans="8:13" x14ac:dyDescent="0.3">
      <c r="H931" t="str">
        <f t="shared" si="59"/>
        <v/>
      </c>
      <c r="I931" t="str">
        <f>IFERROR(VLOOKUP(H931,List!A:B, 2, FALSE), "")</f>
        <v/>
      </c>
      <c r="K931" t="str">
        <f t="shared" si="56"/>
        <v/>
      </c>
      <c r="L931" t="str">
        <f t="shared" si="57"/>
        <v/>
      </c>
      <c r="M931" t="str">
        <f t="shared" si="58"/>
        <v/>
      </c>
    </row>
    <row r="932" spans="8:13" x14ac:dyDescent="0.3">
      <c r="H932" t="str">
        <f t="shared" si="59"/>
        <v/>
      </c>
      <c r="I932" t="str">
        <f>IFERROR(VLOOKUP(H932,List!A:B, 2, FALSE), "")</f>
        <v/>
      </c>
      <c r="K932" t="str">
        <f t="shared" si="56"/>
        <v/>
      </c>
      <c r="L932" t="str">
        <f t="shared" si="57"/>
        <v/>
      </c>
      <c r="M932" t="str">
        <f t="shared" si="58"/>
        <v/>
      </c>
    </row>
    <row r="933" spans="8:13" x14ac:dyDescent="0.3">
      <c r="H933" t="str">
        <f t="shared" si="59"/>
        <v/>
      </c>
      <c r="I933" t="str">
        <f>IFERROR(VLOOKUP(H933,List!A:B, 2, FALSE), "")</f>
        <v/>
      </c>
      <c r="K933" t="str">
        <f t="shared" si="56"/>
        <v/>
      </c>
      <c r="L933" t="str">
        <f t="shared" si="57"/>
        <v/>
      </c>
      <c r="M933" t="str">
        <f t="shared" si="58"/>
        <v/>
      </c>
    </row>
    <row r="934" spans="8:13" x14ac:dyDescent="0.3">
      <c r="H934" t="str">
        <f t="shared" si="59"/>
        <v/>
      </c>
      <c r="I934" t="str">
        <f>IFERROR(VLOOKUP(H934,List!A:B, 2, FALSE), "")</f>
        <v/>
      </c>
      <c r="K934" t="str">
        <f t="shared" si="56"/>
        <v/>
      </c>
      <c r="L934" t="str">
        <f t="shared" si="57"/>
        <v/>
      </c>
      <c r="M934" t="str">
        <f t="shared" si="58"/>
        <v/>
      </c>
    </row>
    <row r="935" spans="8:13" x14ac:dyDescent="0.3">
      <c r="H935" t="str">
        <f t="shared" si="59"/>
        <v/>
      </c>
      <c r="I935" t="str">
        <f>IFERROR(VLOOKUP(H935,List!A:B, 2, FALSE), "")</f>
        <v/>
      </c>
      <c r="K935" t="str">
        <f t="shared" si="56"/>
        <v/>
      </c>
      <c r="L935" t="str">
        <f t="shared" si="57"/>
        <v/>
      </c>
      <c r="M935" t="str">
        <f t="shared" si="58"/>
        <v/>
      </c>
    </row>
    <row r="936" spans="8:13" x14ac:dyDescent="0.3">
      <c r="H936" t="str">
        <f t="shared" si="59"/>
        <v/>
      </c>
      <c r="I936" t="str">
        <f>IFERROR(VLOOKUP(H936,List!A:B, 2, FALSE), "")</f>
        <v/>
      </c>
      <c r="K936" t="str">
        <f t="shared" si="56"/>
        <v/>
      </c>
      <c r="L936" t="str">
        <f t="shared" si="57"/>
        <v/>
      </c>
      <c r="M936" t="str">
        <f t="shared" si="58"/>
        <v/>
      </c>
    </row>
    <row r="937" spans="8:13" x14ac:dyDescent="0.3">
      <c r="H937" t="str">
        <f t="shared" si="59"/>
        <v/>
      </c>
      <c r="I937" t="str">
        <f>IFERROR(VLOOKUP(H937,List!A:B, 2, FALSE), "")</f>
        <v/>
      </c>
      <c r="K937" t="str">
        <f t="shared" si="56"/>
        <v/>
      </c>
      <c r="L937" t="str">
        <f t="shared" si="57"/>
        <v/>
      </c>
      <c r="M937" t="str">
        <f t="shared" si="58"/>
        <v/>
      </c>
    </row>
    <row r="938" spans="8:13" x14ac:dyDescent="0.3">
      <c r="H938" t="str">
        <f t="shared" si="59"/>
        <v/>
      </c>
      <c r="I938" t="str">
        <f>IFERROR(VLOOKUP(H938,List!A:B, 2, FALSE), "")</f>
        <v/>
      </c>
      <c r="K938" t="str">
        <f t="shared" si="56"/>
        <v/>
      </c>
      <c r="L938" t="str">
        <f t="shared" si="57"/>
        <v/>
      </c>
      <c r="M938" t="str">
        <f t="shared" si="58"/>
        <v/>
      </c>
    </row>
    <row r="939" spans="8:13" x14ac:dyDescent="0.3">
      <c r="H939" t="str">
        <f t="shared" si="59"/>
        <v/>
      </c>
      <c r="I939" t="str">
        <f>IFERROR(VLOOKUP(H939,List!A:B, 2, FALSE), "")</f>
        <v/>
      </c>
      <c r="K939" t="str">
        <f t="shared" si="56"/>
        <v/>
      </c>
      <c r="L939" t="str">
        <f t="shared" si="57"/>
        <v/>
      </c>
      <c r="M939" t="str">
        <f t="shared" si="58"/>
        <v/>
      </c>
    </row>
    <row r="940" spans="8:13" x14ac:dyDescent="0.3">
      <c r="H940" t="str">
        <f t="shared" si="59"/>
        <v/>
      </c>
      <c r="I940" t="str">
        <f>IFERROR(VLOOKUP(H940,List!A:B, 2, FALSE), "")</f>
        <v/>
      </c>
      <c r="K940" t="str">
        <f t="shared" si="56"/>
        <v/>
      </c>
      <c r="L940" t="str">
        <f t="shared" si="57"/>
        <v/>
      </c>
      <c r="M940" t="str">
        <f t="shared" si="58"/>
        <v/>
      </c>
    </row>
    <row r="941" spans="8:13" x14ac:dyDescent="0.3">
      <c r="H941" t="str">
        <f t="shared" si="59"/>
        <v/>
      </c>
      <c r="I941" t="str">
        <f>IFERROR(VLOOKUP(H941,List!A:B, 2, FALSE), "")</f>
        <v/>
      </c>
      <c r="K941" t="str">
        <f t="shared" si="56"/>
        <v/>
      </c>
      <c r="L941" t="str">
        <f t="shared" si="57"/>
        <v/>
      </c>
      <c r="M941" t="str">
        <f t="shared" si="58"/>
        <v/>
      </c>
    </row>
    <row r="942" spans="8:13" x14ac:dyDescent="0.3">
      <c r="H942" t="str">
        <f t="shared" si="59"/>
        <v/>
      </c>
      <c r="I942" t="str">
        <f>IFERROR(VLOOKUP(H942,List!A:B, 2, FALSE), "")</f>
        <v/>
      </c>
      <c r="K942" t="str">
        <f t="shared" si="56"/>
        <v/>
      </c>
      <c r="L942" t="str">
        <f t="shared" si="57"/>
        <v/>
      </c>
      <c r="M942" t="str">
        <f t="shared" si="58"/>
        <v/>
      </c>
    </row>
    <row r="943" spans="8:13" x14ac:dyDescent="0.3">
      <c r="H943" t="str">
        <f t="shared" si="59"/>
        <v/>
      </c>
      <c r="I943" t="str">
        <f>IFERROR(VLOOKUP(H943,List!A:B, 2, FALSE), "")</f>
        <v/>
      </c>
      <c r="K943" t="str">
        <f t="shared" si="56"/>
        <v/>
      </c>
      <c r="L943" t="str">
        <f t="shared" si="57"/>
        <v/>
      </c>
      <c r="M943" t="str">
        <f t="shared" si="58"/>
        <v/>
      </c>
    </row>
    <row r="944" spans="8:13" x14ac:dyDescent="0.3">
      <c r="H944" t="str">
        <f t="shared" si="59"/>
        <v/>
      </c>
      <c r="I944" t="str">
        <f>IFERROR(VLOOKUP(H944,List!A:B, 2, FALSE), "")</f>
        <v/>
      </c>
      <c r="K944" t="str">
        <f t="shared" si="56"/>
        <v/>
      </c>
      <c r="L944" t="str">
        <f t="shared" si="57"/>
        <v/>
      </c>
      <c r="M944" t="str">
        <f t="shared" si="58"/>
        <v/>
      </c>
    </row>
    <row r="945" spans="8:13" x14ac:dyDescent="0.3">
      <c r="H945" t="str">
        <f t="shared" si="59"/>
        <v/>
      </c>
      <c r="I945" t="str">
        <f>IFERROR(VLOOKUP(H945,List!A:B, 2, FALSE), "")</f>
        <v/>
      </c>
      <c r="K945" t="str">
        <f t="shared" si="56"/>
        <v/>
      </c>
      <c r="L945" t="str">
        <f t="shared" si="57"/>
        <v/>
      </c>
      <c r="M945" t="str">
        <f t="shared" si="58"/>
        <v/>
      </c>
    </row>
    <row r="946" spans="8:13" x14ac:dyDescent="0.3">
      <c r="H946" t="str">
        <f t="shared" si="59"/>
        <v/>
      </c>
      <c r="I946" t="str">
        <f>IFERROR(VLOOKUP(H946,List!A:B, 2, FALSE), "")</f>
        <v/>
      </c>
      <c r="K946" t="str">
        <f t="shared" si="56"/>
        <v/>
      </c>
      <c r="L946" t="str">
        <f t="shared" si="57"/>
        <v/>
      </c>
      <c r="M946" t="str">
        <f t="shared" si="58"/>
        <v/>
      </c>
    </row>
    <row r="947" spans="8:13" x14ac:dyDescent="0.3">
      <c r="H947" t="str">
        <f t="shared" si="59"/>
        <v/>
      </c>
      <c r="I947" t="str">
        <f>IFERROR(VLOOKUP(H947,List!A:B, 2, FALSE), "")</f>
        <v/>
      </c>
      <c r="K947" t="str">
        <f t="shared" si="56"/>
        <v/>
      </c>
      <c r="L947" t="str">
        <f t="shared" si="57"/>
        <v/>
      </c>
      <c r="M947" t="str">
        <f t="shared" si="58"/>
        <v/>
      </c>
    </row>
    <row r="948" spans="8:13" x14ac:dyDescent="0.3">
      <c r="H948" t="str">
        <f t="shared" si="59"/>
        <v/>
      </c>
      <c r="I948" t="str">
        <f>IFERROR(VLOOKUP(H948,List!A:B, 2, FALSE), "")</f>
        <v/>
      </c>
      <c r="K948" t="str">
        <f t="shared" si="56"/>
        <v/>
      </c>
      <c r="L948" t="str">
        <f t="shared" si="57"/>
        <v/>
      </c>
      <c r="M948" t="str">
        <f t="shared" si="58"/>
        <v/>
      </c>
    </row>
    <row r="949" spans="8:13" x14ac:dyDescent="0.3">
      <c r="H949" t="str">
        <f t="shared" si="59"/>
        <v/>
      </c>
      <c r="I949" t="str">
        <f>IFERROR(VLOOKUP(H949,List!A:B, 2, FALSE), "")</f>
        <v/>
      </c>
      <c r="K949" t="str">
        <f t="shared" si="56"/>
        <v/>
      </c>
      <c r="L949" t="str">
        <f t="shared" si="57"/>
        <v/>
      </c>
      <c r="M949" t="str">
        <f t="shared" si="58"/>
        <v/>
      </c>
    </row>
    <row r="950" spans="8:13" x14ac:dyDescent="0.3">
      <c r="H950" t="str">
        <f t="shared" si="59"/>
        <v/>
      </c>
      <c r="I950" t="str">
        <f>IFERROR(VLOOKUP(H950,List!A:B, 2, FALSE), "")</f>
        <v/>
      </c>
      <c r="K950" t="str">
        <f t="shared" si="56"/>
        <v/>
      </c>
      <c r="L950" t="str">
        <f t="shared" si="57"/>
        <v/>
      </c>
      <c r="M950" t="str">
        <f t="shared" si="58"/>
        <v/>
      </c>
    </row>
    <row r="951" spans="8:13" x14ac:dyDescent="0.3">
      <c r="H951" t="str">
        <f t="shared" si="59"/>
        <v/>
      </c>
      <c r="I951" t="str">
        <f>IFERROR(VLOOKUP(H951,List!A:B, 2, FALSE), "")</f>
        <v/>
      </c>
      <c r="K951" t="str">
        <f t="shared" si="56"/>
        <v/>
      </c>
      <c r="L951" t="str">
        <f t="shared" si="57"/>
        <v/>
      </c>
      <c r="M951" t="str">
        <f t="shared" si="58"/>
        <v/>
      </c>
    </row>
    <row r="952" spans="8:13" x14ac:dyDescent="0.3">
      <c r="H952" t="str">
        <f t="shared" si="59"/>
        <v/>
      </c>
      <c r="I952" t="str">
        <f>IFERROR(VLOOKUP(H952,List!A:B, 2, FALSE), "")</f>
        <v/>
      </c>
      <c r="K952" t="str">
        <f t="shared" si="56"/>
        <v/>
      </c>
      <c r="L952" t="str">
        <f t="shared" si="57"/>
        <v/>
      </c>
      <c r="M952" t="str">
        <f t="shared" si="58"/>
        <v/>
      </c>
    </row>
    <row r="953" spans="8:13" x14ac:dyDescent="0.3">
      <c r="H953" t="str">
        <f t="shared" si="59"/>
        <v/>
      </c>
      <c r="I953" t="str">
        <f>IFERROR(VLOOKUP(H953,List!A:B, 2, FALSE), "")</f>
        <v/>
      </c>
      <c r="K953" t="str">
        <f t="shared" si="56"/>
        <v/>
      </c>
      <c r="L953" t="str">
        <f t="shared" si="57"/>
        <v/>
      </c>
      <c r="M953" t="str">
        <f t="shared" si="58"/>
        <v/>
      </c>
    </row>
    <row r="954" spans="8:13" x14ac:dyDescent="0.3">
      <c r="H954" t="str">
        <f t="shared" si="59"/>
        <v/>
      </c>
      <c r="I954" t="str">
        <f>IFERROR(VLOOKUP(H954,List!A:B, 2, FALSE), "")</f>
        <v/>
      </c>
      <c r="K954" t="str">
        <f t="shared" si="56"/>
        <v/>
      </c>
      <c r="L954" t="str">
        <f t="shared" si="57"/>
        <v/>
      </c>
      <c r="M954" t="str">
        <f t="shared" si="58"/>
        <v/>
      </c>
    </row>
    <row r="955" spans="8:13" x14ac:dyDescent="0.3">
      <c r="H955" t="str">
        <f t="shared" si="59"/>
        <v/>
      </c>
      <c r="I955" t="str">
        <f>IFERROR(VLOOKUP(H955,List!A:B, 2, FALSE), "")</f>
        <v/>
      </c>
      <c r="K955" t="str">
        <f t="shared" si="56"/>
        <v/>
      </c>
      <c r="L955" t="str">
        <f t="shared" si="57"/>
        <v/>
      </c>
      <c r="M955" t="str">
        <f t="shared" si="58"/>
        <v/>
      </c>
    </row>
    <row r="956" spans="8:13" x14ac:dyDescent="0.3">
      <c r="H956" t="str">
        <f t="shared" si="59"/>
        <v/>
      </c>
      <c r="I956" t="str">
        <f>IFERROR(VLOOKUP(H956,List!A:B, 2, FALSE), "")</f>
        <v/>
      </c>
      <c r="K956" t="str">
        <f t="shared" si="56"/>
        <v/>
      </c>
      <c r="L956" t="str">
        <f t="shared" si="57"/>
        <v/>
      </c>
      <c r="M956" t="str">
        <f t="shared" si="58"/>
        <v/>
      </c>
    </row>
    <row r="957" spans="8:13" x14ac:dyDescent="0.3">
      <c r="H957" t="str">
        <f t="shared" si="59"/>
        <v/>
      </c>
      <c r="I957" t="str">
        <f>IFERROR(VLOOKUP(H957,List!A:B, 2, FALSE), "")</f>
        <v/>
      </c>
      <c r="K957" t="str">
        <f t="shared" si="56"/>
        <v/>
      </c>
      <c r="L957" t="str">
        <f t="shared" si="57"/>
        <v/>
      </c>
      <c r="M957" t="str">
        <f t="shared" si="58"/>
        <v/>
      </c>
    </row>
    <row r="958" spans="8:13" x14ac:dyDescent="0.3">
      <c r="H958" t="str">
        <f t="shared" si="59"/>
        <v/>
      </c>
      <c r="I958" t="str">
        <f>IFERROR(VLOOKUP(H958,List!A:B, 2, FALSE), "")</f>
        <v/>
      </c>
      <c r="K958" t="str">
        <f t="shared" si="56"/>
        <v/>
      </c>
      <c r="L958" t="str">
        <f t="shared" si="57"/>
        <v/>
      </c>
      <c r="M958" t="str">
        <f t="shared" si="58"/>
        <v/>
      </c>
    </row>
    <row r="959" spans="8:13" x14ac:dyDescent="0.3">
      <c r="H959" t="str">
        <f t="shared" si="59"/>
        <v/>
      </c>
      <c r="I959" t="str">
        <f>IFERROR(VLOOKUP(H959,List!A:B, 2, FALSE), "")</f>
        <v/>
      </c>
      <c r="K959" t="str">
        <f t="shared" si="56"/>
        <v/>
      </c>
      <c r="L959" t="str">
        <f t="shared" si="57"/>
        <v/>
      </c>
      <c r="M959" t="str">
        <f t="shared" si="58"/>
        <v/>
      </c>
    </row>
    <row r="960" spans="8:13" x14ac:dyDescent="0.3">
      <c r="H960" t="str">
        <f t="shared" si="59"/>
        <v/>
      </c>
      <c r="I960" t="str">
        <f>IFERROR(VLOOKUP(H960,List!A:B, 2, FALSE), "")</f>
        <v/>
      </c>
      <c r="K960" t="str">
        <f t="shared" si="56"/>
        <v/>
      </c>
      <c r="L960" t="str">
        <f t="shared" si="57"/>
        <v/>
      </c>
      <c r="M960" t="str">
        <f t="shared" si="58"/>
        <v/>
      </c>
    </row>
    <row r="961" spans="8:13" x14ac:dyDescent="0.3">
      <c r="H961" t="str">
        <f t="shared" si="59"/>
        <v/>
      </c>
      <c r="I961" t="str">
        <f>IFERROR(VLOOKUP(H961,List!A:B, 2, FALSE), "")</f>
        <v/>
      </c>
      <c r="K961" t="str">
        <f t="shared" si="56"/>
        <v/>
      </c>
      <c r="L961" t="str">
        <f t="shared" si="57"/>
        <v/>
      </c>
      <c r="M961" t="str">
        <f t="shared" si="58"/>
        <v/>
      </c>
    </row>
    <row r="962" spans="8:13" x14ac:dyDescent="0.3">
      <c r="H962" t="str">
        <f t="shared" si="59"/>
        <v/>
      </c>
      <c r="I962" t="str">
        <f>IFERROR(VLOOKUP(H962,List!A:B, 2, FALSE), "")</f>
        <v/>
      </c>
      <c r="K962" t="str">
        <f t="shared" si="56"/>
        <v/>
      </c>
      <c r="L962" t="str">
        <f t="shared" si="57"/>
        <v/>
      </c>
      <c r="M962" t="str">
        <f t="shared" si="58"/>
        <v/>
      </c>
    </row>
    <row r="963" spans="8:13" x14ac:dyDescent="0.3">
      <c r="H963" t="str">
        <f t="shared" si="59"/>
        <v/>
      </c>
      <c r="I963" t="str">
        <f>IFERROR(VLOOKUP(H963,List!A:B, 2, FALSE), "")</f>
        <v/>
      </c>
      <c r="K963" t="str">
        <f t="shared" ref="K963:K999" si="60">SUBSTITUTE(SUBSTITUTE(SUBSTITUTE(SUBSTITUTE(C963,"-",""),"+",""),"p:","")," ","")</f>
        <v/>
      </c>
      <c r="L963" t="str">
        <f t="shared" ref="L963:L999" si="61">K963</f>
        <v/>
      </c>
      <c r="M963" t="str">
        <f t="shared" ref="M963:M999" si="62">IF(LEFT(L963, 2) = "91", RIGHT(L963, LEN(L963) - 2),
 IF(LEFT(L963, 3) = "971", RIGHT(L963, LEN(L963) - 3),
  IF(LEFT(L963, 2) = "92", RIGHT(L963, LEN(L963) - 2),
   IF(LEFT(L963, 3) = "974", RIGHT(L963, LEN(L963) - 3),
    IF(LEFT(L963, 2) = "60", RIGHT(L963, LEN(L963) - 2),
     IF(LEFT(L963, 2) = "65", RIGHT(L963, LEN(L963) - 2),
      IF(LEFT(L963, 3) = "966", RIGHT(L963, LEN(L963) - 3),
       IF(LEFT(L963, 3) = "967", RIGHT(L963, LEN(L963) - 3),
        IF(LEFT(L963, 3) = "968", RIGHT(L963, LEN(L963) - 3),
         IF(LEFT(L963, 3) = "249", RIGHT(L963, LEN(L963) - 3),
          IF(LEFT(L963, 3) = "213", RIGHT(L963, LEN(L963) - 3),
           IF(LEFT(L963, 3) = "965", RIGHT(L963, LEN(L963) - 3),
            IF(LEFT(L963, 3) = "1", RIGHT(L963, LEN(L963) - 1),
             IF(LEFT(L963, 3) = "973", RIGHT(L963, LEN(L963) - 3),
              IF(LEFT(L963, 3) = "233", RIGHT(L963, LEN(L963) - 3),
               IF(LEFT(L963, 3) = "977", RIGHT(L963, LEN(L963) - 3),
                IF(LEFT(L963, 2) = "20", RIGHT(L963, LEN(L963) - 2),
                 L963
                )
               )
              )
             )
            )
           )
          )
         )
        )
       )
      )
     )
    )
   )
  )
 )
)</f>
        <v/>
      </c>
    </row>
    <row r="964" spans="8:13" x14ac:dyDescent="0.3">
      <c r="H964" t="str">
        <f t="shared" si="59"/>
        <v/>
      </c>
      <c r="I964" t="str">
        <f>IFERROR(VLOOKUP(H964,List!A:B, 2, FALSE), "")</f>
        <v/>
      </c>
      <c r="K964" t="str">
        <f t="shared" si="60"/>
        <v/>
      </c>
      <c r="L964" t="str">
        <f t="shared" si="61"/>
        <v/>
      </c>
      <c r="M964" t="str">
        <f t="shared" si="62"/>
        <v/>
      </c>
    </row>
    <row r="965" spans="8:13" x14ac:dyDescent="0.3">
      <c r="H965" t="str">
        <f t="shared" si="59"/>
        <v/>
      </c>
      <c r="I965" t="str">
        <f>IFERROR(VLOOKUP(H965,List!A:B, 2, FALSE), "")</f>
        <v/>
      </c>
      <c r="K965" t="str">
        <f t="shared" si="60"/>
        <v/>
      </c>
      <c r="L965" t="str">
        <f t="shared" si="61"/>
        <v/>
      </c>
      <c r="M965" t="str">
        <f t="shared" si="62"/>
        <v/>
      </c>
    </row>
    <row r="966" spans="8:13" x14ac:dyDescent="0.3">
      <c r="H966" t="str">
        <f t="shared" si="59"/>
        <v/>
      </c>
      <c r="I966" t="str">
        <f>IFERROR(VLOOKUP(H966,List!A:B, 2, FALSE), "")</f>
        <v/>
      </c>
      <c r="K966" t="str">
        <f t="shared" si="60"/>
        <v/>
      </c>
      <c r="L966" t="str">
        <f t="shared" si="61"/>
        <v/>
      </c>
      <c r="M966" t="str">
        <f t="shared" si="62"/>
        <v/>
      </c>
    </row>
    <row r="967" spans="8:13" x14ac:dyDescent="0.3">
      <c r="H967" t="str">
        <f t="shared" ref="H967:H1000" si="63">IF(N967=0,"","")</f>
        <v/>
      </c>
      <c r="I967" t="str">
        <f>IFERROR(VLOOKUP(H967,List!A:B, 2, FALSE), "")</f>
        <v/>
      </c>
      <c r="K967" t="str">
        <f t="shared" si="60"/>
        <v/>
      </c>
      <c r="L967" t="str">
        <f t="shared" si="61"/>
        <v/>
      </c>
      <c r="M967" t="str">
        <f t="shared" si="62"/>
        <v/>
      </c>
    </row>
    <row r="968" spans="8:13" x14ac:dyDescent="0.3">
      <c r="H968" t="str">
        <f t="shared" si="63"/>
        <v/>
      </c>
      <c r="I968" t="str">
        <f>IFERROR(VLOOKUP(H968,List!A:B, 2, FALSE), "")</f>
        <v/>
      </c>
      <c r="K968" t="str">
        <f t="shared" si="60"/>
        <v/>
      </c>
      <c r="L968" t="str">
        <f t="shared" si="61"/>
        <v/>
      </c>
      <c r="M968" t="str">
        <f t="shared" si="62"/>
        <v/>
      </c>
    </row>
    <row r="969" spans="8:13" x14ac:dyDescent="0.3">
      <c r="H969" t="str">
        <f t="shared" si="63"/>
        <v/>
      </c>
      <c r="I969" t="str">
        <f>IFERROR(VLOOKUP(H969,List!A:B, 2, FALSE), "")</f>
        <v/>
      </c>
      <c r="K969" t="str">
        <f t="shared" si="60"/>
        <v/>
      </c>
      <c r="L969" t="str">
        <f t="shared" si="61"/>
        <v/>
      </c>
      <c r="M969" t="str">
        <f t="shared" si="62"/>
        <v/>
      </c>
    </row>
    <row r="970" spans="8:13" x14ac:dyDescent="0.3">
      <c r="H970" t="str">
        <f t="shared" si="63"/>
        <v/>
      </c>
      <c r="I970" t="str">
        <f>IFERROR(VLOOKUP(H970,List!A:B, 2, FALSE), "")</f>
        <v/>
      </c>
      <c r="K970" t="str">
        <f t="shared" si="60"/>
        <v/>
      </c>
      <c r="L970" t="str">
        <f t="shared" si="61"/>
        <v/>
      </c>
      <c r="M970" t="str">
        <f t="shared" si="62"/>
        <v/>
      </c>
    </row>
    <row r="971" spans="8:13" x14ac:dyDescent="0.3">
      <c r="H971" t="str">
        <f t="shared" si="63"/>
        <v/>
      </c>
      <c r="I971" t="str">
        <f>IFERROR(VLOOKUP(H971,List!A:B, 2, FALSE), "")</f>
        <v/>
      </c>
      <c r="K971" t="str">
        <f t="shared" si="60"/>
        <v/>
      </c>
      <c r="L971" t="str">
        <f t="shared" si="61"/>
        <v/>
      </c>
      <c r="M971" t="str">
        <f t="shared" si="62"/>
        <v/>
      </c>
    </row>
    <row r="972" spans="8:13" x14ac:dyDescent="0.3">
      <c r="H972" t="str">
        <f t="shared" si="63"/>
        <v/>
      </c>
      <c r="I972" t="str">
        <f>IFERROR(VLOOKUP(H972,List!A:B, 2, FALSE), "")</f>
        <v/>
      </c>
      <c r="K972" t="str">
        <f t="shared" si="60"/>
        <v/>
      </c>
      <c r="L972" t="str">
        <f t="shared" si="61"/>
        <v/>
      </c>
      <c r="M972" t="str">
        <f t="shared" si="62"/>
        <v/>
      </c>
    </row>
    <row r="973" spans="8:13" x14ac:dyDescent="0.3">
      <c r="H973" t="str">
        <f t="shared" si="63"/>
        <v/>
      </c>
      <c r="I973" t="str">
        <f>IFERROR(VLOOKUP(H973,List!A:B, 2, FALSE), "")</f>
        <v/>
      </c>
      <c r="K973" t="str">
        <f t="shared" si="60"/>
        <v/>
      </c>
      <c r="L973" t="str">
        <f t="shared" si="61"/>
        <v/>
      </c>
      <c r="M973" t="str">
        <f t="shared" si="62"/>
        <v/>
      </c>
    </row>
    <row r="974" spans="8:13" x14ac:dyDescent="0.3">
      <c r="H974" t="str">
        <f t="shared" si="63"/>
        <v/>
      </c>
      <c r="I974" t="str">
        <f>IFERROR(VLOOKUP(H974,List!A:B, 2, FALSE), "")</f>
        <v/>
      </c>
      <c r="K974" t="str">
        <f t="shared" si="60"/>
        <v/>
      </c>
      <c r="L974" t="str">
        <f t="shared" si="61"/>
        <v/>
      </c>
      <c r="M974" t="str">
        <f t="shared" si="62"/>
        <v/>
      </c>
    </row>
    <row r="975" spans="8:13" x14ac:dyDescent="0.3">
      <c r="H975" t="str">
        <f t="shared" si="63"/>
        <v/>
      </c>
      <c r="I975" t="str">
        <f>IFERROR(VLOOKUP(H975,List!A:B, 2, FALSE), "")</f>
        <v/>
      </c>
      <c r="K975" t="str">
        <f t="shared" si="60"/>
        <v/>
      </c>
      <c r="L975" t="str">
        <f t="shared" si="61"/>
        <v/>
      </c>
      <c r="M975" t="str">
        <f t="shared" si="62"/>
        <v/>
      </c>
    </row>
    <row r="976" spans="8:13" x14ac:dyDescent="0.3">
      <c r="H976" t="str">
        <f t="shared" si="63"/>
        <v/>
      </c>
      <c r="I976" t="str">
        <f>IFERROR(VLOOKUP(H976,List!A:B, 2, FALSE), "")</f>
        <v/>
      </c>
      <c r="K976" t="str">
        <f t="shared" si="60"/>
        <v/>
      </c>
      <c r="L976" t="str">
        <f t="shared" si="61"/>
        <v/>
      </c>
      <c r="M976" t="str">
        <f t="shared" si="62"/>
        <v/>
      </c>
    </row>
    <row r="977" spans="8:13" x14ac:dyDescent="0.3">
      <c r="H977" t="str">
        <f t="shared" si="63"/>
        <v/>
      </c>
      <c r="I977" t="str">
        <f>IFERROR(VLOOKUP(H977,List!A:B, 2, FALSE), "")</f>
        <v/>
      </c>
      <c r="K977" t="str">
        <f t="shared" si="60"/>
        <v/>
      </c>
      <c r="L977" t="str">
        <f t="shared" si="61"/>
        <v/>
      </c>
      <c r="M977" t="str">
        <f t="shared" si="62"/>
        <v/>
      </c>
    </row>
    <row r="978" spans="8:13" x14ac:dyDescent="0.3">
      <c r="H978" t="str">
        <f t="shared" si="63"/>
        <v/>
      </c>
      <c r="I978" t="str">
        <f>IFERROR(VLOOKUP(H978,List!A:B, 2, FALSE), "")</f>
        <v/>
      </c>
      <c r="K978" t="str">
        <f t="shared" si="60"/>
        <v/>
      </c>
      <c r="L978" t="str">
        <f t="shared" si="61"/>
        <v/>
      </c>
      <c r="M978" t="str">
        <f t="shared" si="62"/>
        <v/>
      </c>
    </row>
    <row r="979" spans="8:13" x14ac:dyDescent="0.3">
      <c r="H979" t="str">
        <f t="shared" si="63"/>
        <v/>
      </c>
      <c r="I979" t="str">
        <f>IFERROR(VLOOKUP(H979,List!A:B, 2, FALSE), "")</f>
        <v/>
      </c>
      <c r="K979" t="str">
        <f t="shared" si="60"/>
        <v/>
      </c>
      <c r="L979" t="str">
        <f t="shared" si="61"/>
        <v/>
      </c>
      <c r="M979" t="str">
        <f t="shared" si="62"/>
        <v/>
      </c>
    </row>
    <row r="980" spans="8:13" x14ac:dyDescent="0.3">
      <c r="H980" t="str">
        <f t="shared" si="63"/>
        <v/>
      </c>
      <c r="I980" t="str">
        <f>IFERROR(VLOOKUP(H980,List!A:B, 2, FALSE), "")</f>
        <v/>
      </c>
      <c r="K980" t="str">
        <f t="shared" si="60"/>
        <v/>
      </c>
      <c r="L980" t="str">
        <f t="shared" si="61"/>
        <v/>
      </c>
      <c r="M980" t="str">
        <f t="shared" si="62"/>
        <v/>
      </c>
    </row>
    <row r="981" spans="8:13" x14ac:dyDescent="0.3">
      <c r="H981" t="str">
        <f t="shared" si="63"/>
        <v/>
      </c>
      <c r="I981" t="str">
        <f>IFERROR(VLOOKUP(H981,List!A:B, 2, FALSE), "")</f>
        <v/>
      </c>
      <c r="K981" t="str">
        <f t="shared" si="60"/>
        <v/>
      </c>
      <c r="L981" t="str">
        <f t="shared" si="61"/>
        <v/>
      </c>
      <c r="M981" t="str">
        <f t="shared" si="62"/>
        <v/>
      </c>
    </row>
    <row r="982" spans="8:13" x14ac:dyDescent="0.3">
      <c r="H982" t="str">
        <f t="shared" si="63"/>
        <v/>
      </c>
      <c r="I982" t="str">
        <f>IFERROR(VLOOKUP(H982,List!A:B, 2, FALSE), "")</f>
        <v/>
      </c>
      <c r="K982" t="str">
        <f t="shared" si="60"/>
        <v/>
      </c>
      <c r="L982" t="str">
        <f t="shared" si="61"/>
        <v/>
      </c>
      <c r="M982" t="str">
        <f t="shared" si="62"/>
        <v/>
      </c>
    </row>
    <row r="983" spans="8:13" x14ac:dyDescent="0.3">
      <c r="H983" t="str">
        <f t="shared" si="63"/>
        <v/>
      </c>
      <c r="I983" t="str">
        <f>IFERROR(VLOOKUP(H983,List!A:B, 2, FALSE), "")</f>
        <v/>
      </c>
      <c r="K983" t="str">
        <f t="shared" si="60"/>
        <v/>
      </c>
      <c r="L983" t="str">
        <f t="shared" si="61"/>
        <v/>
      </c>
      <c r="M983" t="str">
        <f t="shared" si="62"/>
        <v/>
      </c>
    </row>
    <row r="984" spans="8:13" x14ac:dyDescent="0.3">
      <c r="H984" t="str">
        <f t="shared" si="63"/>
        <v/>
      </c>
      <c r="I984" t="str">
        <f>IFERROR(VLOOKUP(H984,List!A:B, 2, FALSE), "")</f>
        <v/>
      </c>
      <c r="K984" t="str">
        <f t="shared" si="60"/>
        <v/>
      </c>
      <c r="L984" t="str">
        <f t="shared" si="61"/>
        <v/>
      </c>
      <c r="M984" t="str">
        <f t="shared" si="62"/>
        <v/>
      </c>
    </row>
    <row r="985" spans="8:13" x14ac:dyDescent="0.3">
      <c r="H985" t="str">
        <f t="shared" si="63"/>
        <v/>
      </c>
      <c r="I985" t="str">
        <f>IFERROR(VLOOKUP(H985,List!A:B, 2, FALSE), "")</f>
        <v/>
      </c>
      <c r="K985" t="str">
        <f t="shared" si="60"/>
        <v/>
      </c>
      <c r="L985" t="str">
        <f t="shared" si="61"/>
        <v/>
      </c>
      <c r="M985" t="str">
        <f t="shared" si="62"/>
        <v/>
      </c>
    </row>
    <row r="986" spans="8:13" x14ac:dyDescent="0.3">
      <c r="H986" t="str">
        <f t="shared" si="63"/>
        <v/>
      </c>
      <c r="I986" t="str">
        <f>IFERROR(VLOOKUP(H986,List!A:B, 2, FALSE), "")</f>
        <v/>
      </c>
      <c r="K986" t="str">
        <f t="shared" si="60"/>
        <v/>
      </c>
      <c r="L986" t="str">
        <f t="shared" si="61"/>
        <v/>
      </c>
      <c r="M986" t="str">
        <f t="shared" si="62"/>
        <v/>
      </c>
    </row>
    <row r="987" spans="8:13" x14ac:dyDescent="0.3">
      <c r="H987" t="str">
        <f t="shared" si="63"/>
        <v/>
      </c>
      <c r="I987" t="str">
        <f>IFERROR(VLOOKUP(H987,List!A:B, 2, FALSE), "")</f>
        <v/>
      </c>
      <c r="K987" t="str">
        <f t="shared" si="60"/>
        <v/>
      </c>
      <c r="L987" t="str">
        <f t="shared" si="61"/>
        <v/>
      </c>
      <c r="M987" t="str">
        <f t="shared" si="62"/>
        <v/>
      </c>
    </row>
    <row r="988" spans="8:13" x14ac:dyDescent="0.3">
      <c r="H988" t="str">
        <f t="shared" si="63"/>
        <v/>
      </c>
      <c r="I988" t="str">
        <f>IFERROR(VLOOKUP(H988,List!A:B, 2, FALSE), "")</f>
        <v/>
      </c>
      <c r="K988" t="str">
        <f t="shared" si="60"/>
        <v/>
      </c>
      <c r="L988" t="str">
        <f t="shared" si="61"/>
        <v/>
      </c>
      <c r="M988" t="str">
        <f t="shared" si="62"/>
        <v/>
      </c>
    </row>
    <row r="989" spans="8:13" x14ac:dyDescent="0.3">
      <c r="H989" t="str">
        <f t="shared" si="63"/>
        <v/>
      </c>
      <c r="I989" t="str">
        <f>IFERROR(VLOOKUP(H989,List!A:B, 2, FALSE), "")</f>
        <v/>
      </c>
      <c r="K989" t="str">
        <f t="shared" si="60"/>
        <v/>
      </c>
      <c r="L989" t="str">
        <f t="shared" si="61"/>
        <v/>
      </c>
      <c r="M989" t="str">
        <f t="shared" si="62"/>
        <v/>
      </c>
    </row>
    <row r="990" spans="8:13" x14ac:dyDescent="0.3">
      <c r="H990" t="str">
        <f t="shared" si="63"/>
        <v/>
      </c>
      <c r="I990" t="str">
        <f>IFERROR(VLOOKUP(H990,List!A:B, 2, FALSE), "")</f>
        <v/>
      </c>
      <c r="K990" t="str">
        <f t="shared" si="60"/>
        <v/>
      </c>
      <c r="L990" t="str">
        <f t="shared" si="61"/>
        <v/>
      </c>
      <c r="M990" t="str">
        <f t="shared" si="62"/>
        <v/>
      </c>
    </row>
    <row r="991" spans="8:13" x14ac:dyDescent="0.3">
      <c r="H991" t="str">
        <f t="shared" si="63"/>
        <v/>
      </c>
      <c r="I991" t="str">
        <f>IFERROR(VLOOKUP(H991,List!A:B, 2, FALSE), "")</f>
        <v/>
      </c>
      <c r="K991" t="str">
        <f t="shared" si="60"/>
        <v/>
      </c>
      <c r="L991" t="str">
        <f t="shared" si="61"/>
        <v/>
      </c>
      <c r="M991" t="str">
        <f t="shared" si="62"/>
        <v/>
      </c>
    </row>
    <row r="992" spans="8:13" x14ac:dyDescent="0.3">
      <c r="H992" t="str">
        <f t="shared" si="63"/>
        <v/>
      </c>
      <c r="I992" t="str">
        <f>IFERROR(VLOOKUP(H992,List!A:B, 2, FALSE), "")</f>
        <v/>
      </c>
      <c r="K992" t="str">
        <f t="shared" si="60"/>
        <v/>
      </c>
      <c r="L992" t="str">
        <f t="shared" si="61"/>
        <v/>
      </c>
      <c r="M992" t="str">
        <f t="shared" si="62"/>
        <v/>
      </c>
    </row>
    <row r="993" spans="5:16" x14ac:dyDescent="0.3">
      <c r="H993" t="str">
        <f t="shared" si="63"/>
        <v/>
      </c>
      <c r="I993" t="str">
        <f>IFERROR(VLOOKUP(H993,List!A:B, 2, FALSE), "")</f>
        <v/>
      </c>
      <c r="K993" t="str">
        <f t="shared" si="60"/>
        <v/>
      </c>
      <c r="L993" t="str">
        <f t="shared" si="61"/>
        <v/>
      </c>
      <c r="M993" t="str">
        <f t="shared" si="62"/>
        <v/>
      </c>
    </row>
    <row r="994" spans="5:16" x14ac:dyDescent="0.3">
      <c r="H994" t="str">
        <f t="shared" si="63"/>
        <v/>
      </c>
      <c r="I994" t="str">
        <f>IFERROR(VLOOKUP(H994,List!A:B, 2, FALSE), "")</f>
        <v/>
      </c>
      <c r="K994" t="str">
        <f t="shared" si="60"/>
        <v/>
      </c>
      <c r="L994" t="str">
        <f t="shared" si="61"/>
        <v/>
      </c>
      <c r="M994" t="str">
        <f t="shared" si="62"/>
        <v/>
      </c>
    </row>
    <row r="995" spans="5:16" x14ac:dyDescent="0.3">
      <c r="H995" t="str">
        <f t="shared" si="63"/>
        <v/>
      </c>
      <c r="I995" t="str">
        <f>IFERROR(VLOOKUP(H995,List!A:B, 2, FALSE), "")</f>
        <v/>
      </c>
      <c r="K995" t="str">
        <f t="shared" si="60"/>
        <v/>
      </c>
      <c r="L995" t="str">
        <f t="shared" si="61"/>
        <v/>
      </c>
      <c r="M995" t="str">
        <f t="shared" si="62"/>
        <v/>
      </c>
    </row>
    <row r="996" spans="5:16" x14ac:dyDescent="0.3">
      <c r="H996" t="str">
        <f t="shared" si="63"/>
        <v/>
      </c>
      <c r="I996" t="str">
        <f>IFERROR(VLOOKUP(H996,List!A:B, 2, FALSE), "")</f>
        <v/>
      </c>
      <c r="K996" t="str">
        <f t="shared" si="60"/>
        <v/>
      </c>
      <c r="L996" t="str">
        <f t="shared" si="61"/>
        <v/>
      </c>
      <c r="M996" t="str">
        <f t="shared" si="62"/>
        <v/>
      </c>
    </row>
    <row r="997" spans="5:16" x14ac:dyDescent="0.3">
      <c r="H997" t="str">
        <f t="shared" si="63"/>
        <v/>
      </c>
      <c r="I997" t="str">
        <f>IFERROR(VLOOKUP(H997,List!A:B, 2, FALSE), "")</f>
        <v/>
      </c>
      <c r="K997" t="str">
        <f t="shared" si="60"/>
        <v/>
      </c>
      <c r="L997" t="str">
        <f t="shared" si="61"/>
        <v/>
      </c>
      <c r="M997" t="str">
        <f t="shared" si="62"/>
        <v/>
      </c>
    </row>
    <row r="998" spans="5:16" x14ac:dyDescent="0.3">
      <c r="H998" t="str">
        <f t="shared" si="63"/>
        <v/>
      </c>
      <c r="I998" t="str">
        <f>IFERROR(VLOOKUP(H998,List!A:B, 2, FALSE), "")</f>
        <v/>
      </c>
      <c r="K998" t="str">
        <f t="shared" si="60"/>
        <v/>
      </c>
      <c r="L998" t="str">
        <f t="shared" si="61"/>
        <v/>
      </c>
      <c r="M998" t="str">
        <f t="shared" si="62"/>
        <v/>
      </c>
    </row>
    <row r="999" spans="5:16" x14ac:dyDescent="0.3">
      <c r="H999" t="str">
        <f t="shared" si="63"/>
        <v/>
      </c>
      <c r="I999" t="str">
        <f>IFERROR(VLOOKUP(H999,List!A:B, 2, FALSE), "")</f>
        <v/>
      </c>
      <c r="K999" t="str">
        <f t="shared" si="60"/>
        <v/>
      </c>
      <c r="L999" t="str">
        <f t="shared" si="61"/>
        <v/>
      </c>
      <c r="M999" t="str">
        <f t="shared" si="62"/>
        <v/>
      </c>
    </row>
    <row r="1000" spans="5:16" x14ac:dyDescent="0.3">
      <c r="E1000">
        <v>0</v>
      </c>
      <c r="F1000">
        <v>0</v>
      </c>
      <c r="G1000">
        <v>0</v>
      </c>
      <c r="H1000" t="str">
        <f t="shared" si="63"/>
        <v/>
      </c>
      <c r="I1000">
        <v>0</v>
      </c>
      <c r="J1000">
        <v>0</v>
      </c>
      <c r="K1000">
        <v>0</v>
      </c>
      <c r="L1000">
        <v>0</v>
      </c>
      <c r="M1000">
        <v>0</v>
      </c>
      <c r="O1000">
        <v>0</v>
      </c>
      <c r="P1000">
        <v>0</v>
      </c>
    </row>
  </sheetData>
  <mergeCells count="1">
    <mergeCell ref="A2:D2"/>
  </mergeCells>
  <dataValidations count="4">
    <dataValidation type="list" allowBlank="1" showInputMessage="1" sqref="H2:H1000" xr:uid="{55A44685-F94F-45EB-90E0-9CB31987507D}">
      <formula1>salesteam</formula1>
    </dataValidation>
    <dataValidation type="list" allowBlank="1" showInputMessage="1" showErrorMessage="1" sqref="G2:G1000" xr:uid="{B4A1FC21-BB01-45CD-BB22-13A0D3289CCE}">
      <formula1>regions</formula1>
    </dataValidation>
    <dataValidation type="list" allowBlank="1" showInputMessage="1" showErrorMessage="1" sqref="F2:F1000" xr:uid="{B4FC7794-020B-4FA1-B235-259234197377}">
      <formula1>courses</formula1>
    </dataValidation>
    <dataValidation type="list" allowBlank="1" showInputMessage="1" showErrorMessage="1" sqref="E2:E1000" xr:uid="{01F2C131-EE74-40CC-9FB8-050B9D2B0A49}">
      <formula1>sources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ocodeLocationsWithBingMaps90">
                <anchor moveWithCells="1" sizeWithCells="1">
                  <from>
                    <xdr:col>14</xdr:col>
                    <xdr:colOff>22860</xdr:colOff>
                    <xdr:row>0</xdr:row>
                    <xdr:rowOff>0</xdr:rowOff>
                  </from>
                  <to>
                    <xdr:col>15</xdr:col>
                    <xdr:colOff>441960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List</vt:lpstr>
      <vt:lpstr>Main Sheet</vt:lpstr>
      <vt:lpstr>Mainsheet 3</vt:lpstr>
      <vt:lpstr>age</vt:lpstr>
      <vt:lpstr>courses</vt:lpstr>
      <vt:lpstr>gl</vt:lpstr>
      <vt:lpstr>regions</vt:lpstr>
      <vt:lpstr>salesemail</vt:lpstr>
      <vt:lpstr>salesteam</vt:lpstr>
      <vt:lpstr>sources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Nishanth Fiona</dc:creator>
  <cp:lastModifiedBy>Nishanth Fiona</cp:lastModifiedBy>
  <dcterms:created xsi:type="dcterms:W3CDTF">2024-01-17T09:19:21Z</dcterms:created>
  <dcterms:modified xsi:type="dcterms:W3CDTF">2024-09-13T10:50:41Z</dcterms:modified>
</cp:coreProperties>
</file>